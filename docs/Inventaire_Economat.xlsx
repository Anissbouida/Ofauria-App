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Ingredients" sheetId="2" state="visible" r:id="rId2"/>
    <sheet xmlns:r="http://schemas.openxmlformats.org/officeDocument/2006/relationships" name="Consommables" sheetId="3" state="visible" r:id="rId3"/>
    <sheet xmlns:r="http://schemas.openxmlformats.org/officeDocument/2006/relationships" name="A arbitrer" sheetId="4" state="visible" r:id="rId4"/>
    <sheet xmlns:r="http://schemas.openxmlformats.org/officeDocument/2006/relationships" name="Synthese" sheetId="5" state="visible" r:id="rId5"/>
  </sheets>
  <definedNames>
    <definedName name="_xlnm._FilterDatabase" localSheetId="1" hidden="1">'Ingredients'!$A$6:$S$381</definedName>
    <definedName name="_xlnm.Print_Titles" localSheetId="1">'Ingredients'!$6:$6</definedName>
    <definedName name="_xlnm._FilterDatabase" localSheetId="2" hidden="1">'Consommables'!$A$6:$N$115</definedName>
    <definedName name="_xlnm.Print_Titles" localSheetId="2">'Consommables'!$6:$6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###"/>
    <numFmt numFmtId="165" formatCode="#,##0.00&quot; DH&quot;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864"/>
      <sz val="11"/>
    </font>
    <font>
      <name val="Arial"/>
      <b val="1"/>
      <color rgb="001F3864"/>
      <sz val="14"/>
    </font>
    <font>
      <name val="Arial"/>
      <i val="1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D9E1F2"/>
      </patternFill>
    </fill>
    <fill>
      <patternFill patternType="solid">
        <fgColor rgb="00D6F5D6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80808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7" fillId="0" borderId="0" pivotButton="0" quotePrefix="0" xfId="0"/>
    <xf numFmtId="0" fontId="5" fillId="0" borderId="0" applyAlignment="1" pivotButton="0" quotePrefix="0" xfId="0">
      <alignment horizontal="right"/>
    </xf>
    <xf numFmtId="0" fontId="8" fillId="0" borderId="0" pivotButton="0" quotePrefix="0" xfId="0"/>
    <xf numFmtId="164" fontId="4" fillId="0" borderId="1" pivotButton="0" quotePrefix="0" xfId="0"/>
    <xf numFmtId="3" fontId="4" fillId="3" borderId="1" pivotButton="0" quotePrefix="0" xfId="0"/>
    <xf numFmtId="164" fontId="4" fillId="3" borderId="1" pivotButton="0" quotePrefix="0" xfId="0"/>
    <xf numFmtId="164" fontId="4" fillId="4" borderId="1" pivotButton="0" quotePrefix="0" xfId="0"/>
    <xf numFmtId="165" fontId="4" fillId="0" borderId="1" pivotButton="0" quotePrefix="0" xfId="0"/>
    <xf numFmtId="165" fontId="4" fillId="4" borderId="1" pivotButton="0" quotePrefix="0" xfId="0"/>
    <xf numFmtId="0" fontId="5" fillId="5" borderId="1" pivotButton="0" quotePrefix="0" xfId="0"/>
    <xf numFmtId="165" fontId="5" fillId="5" borderId="1" pivotButton="0" quotePrefix="0" xfId="0"/>
    <xf numFmtId="3" fontId="4" fillId="0" borderId="1" pivotButton="0" quotePrefix="0" xfId="0"/>
    <xf numFmtId="166" fontId="4" fillId="0" borderId="1" pivotButton="0" quotePrefix="0" xfId="0"/>
    <xf numFmtId="0" fontId="6" fillId="5" borderId="1" pivotButton="0" quotePrefix="0" xfId="0"/>
    <xf numFmtId="3" fontId="6" fillId="5" borderId="1" pivotButton="0" quotePrefix="0" xfId="0"/>
    <xf numFmtId="165" fontId="6" fillId="5" borderId="1" pivotButton="0" quotePrefix="0" xfId="0"/>
    <xf numFmtId="166" fontId="6" fillId="5" borderId="1" pivotButton="0" quotePrefix="0" xfId="0"/>
    <xf numFmtId="0" fontId="5" fillId="0" borderId="0" pivotButton="0" quotePrefix="0" xfId="0"/>
    <xf numFmtId="0" fontId="0" fillId="0" borderId="2" pivotButton="0" quotePrefix="0" xfId="0"/>
    <xf numFmtId="164" fontId="4" fillId="6" borderId="1" pivotButton="0" quotePrefix="0" xfId="0"/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name val="Arial"/>
        <b val="1"/>
        <color rgb="009C0006"/>
        <sz val="10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2">
      <c r="B2" s="1" t="inlineStr">
        <is>
          <t>INVENTAIRE PHYSIQUE - ECONOMAT</t>
        </is>
      </c>
    </row>
    <row r="3">
      <c r="B3" s="2" t="inlineStr">
        <is>
          <t>Ofauria - feuille de comptage a imprimer ou a remplir directement dans Excel</t>
        </is>
      </c>
    </row>
    <row r="5" ht="15" customHeight="1">
      <c r="B5" s="3" t="inlineStr">
        <is>
          <t>SECTION</t>
        </is>
      </c>
      <c r="C5" s="3" t="inlineStr">
        <is>
          <t>COMMENT FAIRE</t>
        </is>
      </c>
    </row>
    <row r="6" ht="46" customHeight="1">
      <c r="B6" s="4" t="inlineStr">
        <is>
          <t>1. Avant de commencer</t>
        </is>
      </c>
      <c r="C6" s="5" t="inlineStr">
        <is>
          <t>Renseignez la date, le nom du compteur et du verificateur en haut de chaque onglet de comptage. Comptez zone par zone et cochez au fur et a mesure : ne revenez jamais en arriere sur une ligne deja comptee.</t>
        </is>
      </c>
    </row>
    <row r="7" ht="46" customHeight="1">
      <c r="B7" s="4" t="inlineStr">
        <is>
          <t>2. Onglet 'Ingredients'</t>
        </is>
      </c>
      <c r="C7" s="5" t="inlineStr">
        <is>
          <t>Une ligne par ingredient de l'economat. Deux facons de saisir, au choix selon l'article :
  - Article en contenants (sac, seau, bidon...) : mettez le nombre de contenants PLEINS en colonne J, puis le reste (sac entame, pese sur balance) en colonne K, dans l'unite de l'article.
  - Article en vrac ou a la piece : laissez J vide et mettez tout le comptage en colonne K.
La colonne L 'Qte comptee' se calcule toute seule : J x contenu du contenant + K.</t>
        </is>
      </c>
    </row>
    <row r="8" ht="46" customHeight="1">
      <c r="B8" s="4" t="inlineStr">
        <is>
          <t>3. Onglet 'Consommables'</t>
        </is>
      </c>
      <c r="C8" s="5" t="inlineStr">
        <is>
          <t>Emballages, produits et materiel d'entretien, petit materiel. Une seule colonne de saisie : colonne I 'Qte comptee', en pieces (ou dans l'unite indiquee).</t>
        </is>
      </c>
    </row>
    <row r="9" ht="46" customHeight="1">
      <c r="B9" s="4" t="inlineStr">
        <is>
          <t>4. Couleurs des cellules</t>
        </is>
      </c>
      <c r="C9" s="5" t="inlineStr">
        <is>
          <t>Fond JAUNE = a remplir a la main. Fond GRIS = calcule automatiquement, ne pas ecrire dedans. Fond blanc = donnee issue de l'application (theorique, prix, categorie).</t>
        </is>
      </c>
    </row>
    <row r="10" ht="46" customHeight="1">
      <c r="B10" s="4" t="inlineStr">
        <is>
          <t>5. Ecarts</t>
        </is>
      </c>
      <c r="C10" s="5" t="inlineStr">
        <is>
          <t>Ecart = Qte comptee - Stock theorique. Le stock theorique est ici volontairement mis a 0 : le comptage physique fait foi et l'ecart est donc egal a la quantite comptee. Toute ligne avec un ecart non nul apparait en rouge : justifiez-la en colonne 'Observations' (casse, perte, erreur de reception, sortie non saisie...).</t>
        </is>
      </c>
    </row>
    <row r="11" ht="46" customHeight="1">
      <c r="B11" s="4" t="inlineStr">
        <is>
          <t>6. Onglet 'Synthese'</t>
        </is>
      </c>
      <c r="C11" s="5" t="inlineStr">
        <is>
          <t>Recapitulatif automatique par famille : valeur comptee, valeur theorique et valeur de l'ecart. Rien a saisir, tout se met a jour des que vous remplissez les onglets de comptage.</t>
        </is>
      </c>
    </row>
    <row r="12" ht="46" customHeight="1">
      <c r="B12" s="4" t="inlineStr">
        <is>
          <t>7. Apres le comptage</t>
        </is>
      </c>
      <c r="C12" s="5" t="inlineStr">
        <is>
          <t>Faites signer la feuille, puis reportez les quantites comptees dans l'application (Economat &gt; ajustement de stock) en conservant ce fichier comme piece justificative.</t>
        </is>
      </c>
    </row>
    <row r="14">
      <c r="B14" s="6" t="inlineStr">
        <is>
          <t>EXEMPLE DE SAISIE (onglet Ingredients)</t>
        </is>
      </c>
    </row>
    <row r="15" ht="30" customHeight="1">
      <c r="B15" s="7" t="inlineStr">
        <is>
          <t>Article</t>
        </is>
      </c>
      <c r="C15" s="7" t="inlineStr">
        <is>
          <t>Unite</t>
        </is>
      </c>
      <c r="D15" s="7" t="inlineStr">
        <is>
          <t>Contenant</t>
        </is>
      </c>
      <c r="E15" s="7" t="inlineStr">
        <is>
          <t>Contenu/contenant</t>
        </is>
      </c>
      <c r="F15" s="7" t="inlineStr">
        <is>
          <t>Stock theorique</t>
        </is>
      </c>
      <c r="G15" s="7" t="inlineStr">
        <is>
          <t>Nb contenants pleins</t>
        </is>
      </c>
      <c r="H15" s="7" t="inlineStr">
        <is>
          <t>Qte hors contenant</t>
        </is>
      </c>
      <c r="I15" s="7" t="inlineStr">
        <is>
          <t>Qte comptee</t>
        </is>
      </c>
      <c r="J15" s="7" t="inlineStr">
        <is>
          <t>Ecart</t>
        </is>
      </c>
    </row>
    <row r="16">
      <c r="B16" s="8" t="inlineStr">
        <is>
          <t>Farine boulangerie</t>
        </is>
      </c>
      <c r="C16" s="8" t="inlineStr">
        <is>
          <t>kg</t>
        </is>
      </c>
      <c r="D16" s="8" t="inlineStr">
        <is>
          <t>Sac</t>
        </is>
      </c>
      <c r="E16" s="8" t="n">
        <v>25</v>
      </c>
      <c r="F16" s="8" t="n">
        <v>875</v>
      </c>
      <c r="G16" s="9" t="n">
        <v>34</v>
      </c>
      <c r="H16" s="9" t="n">
        <v>12.5</v>
      </c>
      <c r="I16" s="10" t="inlineStr">
        <is>
          <t>34 x 25 + 12,5 -&gt; 862,5</t>
        </is>
      </c>
      <c r="J16" s="10" t="inlineStr">
        <is>
          <t>-12,5</t>
        </is>
      </c>
    </row>
    <row r="17">
      <c r="B17" s="8" t="inlineStr">
        <is>
          <t>Beurre</t>
        </is>
      </c>
      <c r="C17" s="8" t="inlineStr">
        <is>
          <t>kg</t>
        </is>
      </c>
      <c r="D17" s="8" t="inlineStr"/>
      <c r="E17" s="8" t="inlineStr"/>
      <c r="F17" s="8" t="n">
        <v>725</v>
      </c>
      <c r="G17" s="9" t="inlineStr"/>
      <c r="H17" s="9" t="n">
        <v>718</v>
      </c>
      <c r="I17" s="10" t="inlineStr">
        <is>
          <t>718</t>
        </is>
      </c>
      <c r="J17" s="10" t="inlineStr">
        <is>
          <t>-7</t>
        </is>
      </c>
    </row>
    <row r="18">
      <c r="B18" s="8" t="inlineStr">
        <is>
          <t>Oeuf</t>
        </is>
      </c>
      <c r="C18" s="8" t="inlineStr">
        <is>
          <t>unit</t>
        </is>
      </c>
      <c r="D18" s="8" t="inlineStr"/>
      <c r="E18" s="8" t="inlineStr"/>
      <c r="F18" s="8" t="n">
        <v>3720</v>
      </c>
      <c r="G18" s="9" t="inlineStr"/>
      <c r="H18" s="9" t="n">
        <v>3735</v>
      </c>
      <c r="I18" s="10" t="inlineStr">
        <is>
          <t>3 735</t>
        </is>
      </c>
      <c r="J18" s="10" t="inlineStr">
        <is>
          <t>+15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382"/>
  <sheetViews>
    <sheetView workbookViewId="0">
      <pane xSplit="4" ySplit="6" topLeftCell="E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34" customWidth="1" min="4" max="4"/>
    <col width="20" customWidth="1" min="5" max="5"/>
    <col width="7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1" customWidth="1" min="13" max="13"/>
    <col width="10" customWidth="1" min="14" max="14"/>
    <col width="14" customWidth="1" min="15" max="15"/>
    <col width="14" customWidth="1" min="16" max="16"/>
    <col width="13" customWidth="1" min="17" max="17"/>
    <col width="13" customWidth="1" min="18" max="18"/>
    <col width="30" customWidth="1" min="19" max="19"/>
  </cols>
  <sheetData>
    <row r="1">
      <c r="A1" s="11" t="inlineStr">
        <is>
          <t>INVENTAIRE ECONOMAT - INGREDIENTS ET MATIERES PREMIERES</t>
        </is>
      </c>
    </row>
    <row r="3">
      <c r="A3" s="12" t="inlineStr">
        <is>
          <t>Date de l'inventaire :</t>
        </is>
      </c>
      <c r="B3" s="9" t="inlineStr">
        <is>
          <t>06/08/2026</t>
        </is>
      </c>
      <c r="D3" s="12" t="inlineStr">
        <is>
          <t>Comptage effectue par :</t>
        </is>
      </c>
      <c r="E3" s="9" t="inlineStr">
        <is>
          <t>Releve carnet magasin</t>
        </is>
      </c>
      <c r="G3" s="12" t="inlineStr">
        <is>
          <t>Verifie par :</t>
        </is>
      </c>
      <c r="H3" s="9" t="n"/>
    </row>
    <row r="4">
      <c r="A4" s="13" t="inlineStr">
        <is>
          <t>Fond jaune = a remplir  |  fond gris = calcule automatiquement  |  ecart non nul = ligne en rouge</t>
        </is>
      </c>
    </row>
    <row r="6" ht="42" customHeight="1">
      <c r="A6" s="7" t="inlineStr">
        <is>
          <t>N°</t>
        </is>
      </c>
      <c r="B6" s="7" t="inlineStr">
        <is>
          <t>Famille</t>
        </is>
      </c>
      <c r="C6" s="7" t="inlineStr">
        <is>
          <t>Categorie</t>
        </is>
      </c>
      <c r="D6" s="7" t="inlineStr">
        <is>
          <t>Article</t>
        </is>
      </c>
      <c r="E6" s="7" t="inlineStr">
        <is>
          <t>Fournisseur</t>
        </is>
      </c>
      <c r="F6" s="7" t="inlineStr">
        <is>
          <t>Unite</t>
        </is>
      </c>
      <c r="G6" s="7" t="inlineStr">
        <is>
          <t>Contenant</t>
        </is>
      </c>
      <c r="H6" s="7" t="inlineStr">
        <is>
          <t>Contenu / contenant</t>
        </is>
      </c>
      <c r="I6" s="7" t="inlineStr">
        <is>
          <t>Stock theorique</t>
        </is>
      </c>
      <c r="J6" s="7" t="inlineStr">
        <is>
          <t>Nb contenants pleins</t>
        </is>
      </c>
      <c r="K6" s="7" t="inlineStr">
        <is>
          <t>Qte hors contenant</t>
        </is>
      </c>
      <c r="L6" s="7" t="inlineStr">
        <is>
          <t>Qte comptee</t>
        </is>
      </c>
      <c r="M6" s="7" t="inlineStr">
        <is>
          <t>Ecart</t>
        </is>
      </c>
      <c r="N6" s="7" t="inlineStr">
        <is>
          <t>PU</t>
        </is>
      </c>
      <c r="O6" s="7" t="inlineStr">
        <is>
          <t>Valeur comptee</t>
        </is>
      </c>
      <c r="P6" s="7" t="inlineStr">
        <is>
          <t>Valeur ecart</t>
        </is>
      </c>
      <c r="Q6" s="7" t="inlineStr">
        <is>
          <t>DLC la + proche</t>
        </is>
      </c>
      <c r="R6" s="7" t="inlineStr">
        <is>
          <t>Statut</t>
        </is>
      </c>
      <c r="S6" s="7" t="inlineStr">
        <is>
          <t>Observations</t>
        </is>
      </c>
    </row>
    <row r="7">
      <c r="A7" s="8" t="n">
        <v>1</v>
      </c>
      <c r="B7" s="8" t="inlineStr">
        <is>
          <t>Matières premières</t>
        </is>
      </c>
      <c r="C7" s="8" t="inlineStr">
        <is>
          <t>Ingrédients &gt; Autre</t>
        </is>
      </c>
      <c r="D7" s="8" t="inlineStr">
        <is>
          <t>Amarina</t>
        </is>
      </c>
      <c r="E7" s="8" t="inlineStr"/>
      <c r="F7" s="8" t="inlineStr">
        <is>
          <t>unit</t>
        </is>
      </c>
      <c r="G7" s="8" t="inlineStr"/>
      <c r="H7" s="14" t="n"/>
      <c r="I7" s="14" t="n">
        <v>0</v>
      </c>
      <c r="J7" s="15" t="n"/>
      <c r="K7" s="16" t="n"/>
      <c r="L7" s="17">
        <f>IF(AND(J7="",K7=""),"",IF(H7="",K7,J7*H7+K7))</f>
        <v/>
      </c>
      <c r="M7" s="17">
        <f>IF(L7="","",L7-I7)</f>
        <v/>
      </c>
      <c r="N7" s="18" t="n">
        <v>145</v>
      </c>
      <c r="O7" s="19">
        <f>IF(L7="","",L7*N7)</f>
        <v/>
      </c>
      <c r="P7" s="19">
        <f>IF(M7="","",M7*N7)</f>
        <v/>
      </c>
      <c r="Q7" s="8" t="n"/>
      <c r="R7" s="8" t="inlineStr">
        <is>
          <t>En stock</t>
        </is>
      </c>
      <c r="S7" s="9" t="n"/>
    </row>
    <row r="8">
      <c r="A8" s="8" t="n">
        <v>2</v>
      </c>
      <c r="B8" s="8" t="inlineStr">
        <is>
          <t>Matières premières</t>
        </is>
      </c>
      <c r="C8" s="8" t="inlineStr">
        <is>
          <t>Ingrédients &gt; Autre</t>
        </is>
      </c>
      <c r="D8" s="8" t="inlineStr">
        <is>
          <t>Amelioruer de viennoiserie</t>
        </is>
      </c>
      <c r="E8" s="8" t="inlineStr"/>
      <c r="F8" s="8" t="inlineStr">
        <is>
          <t>kg</t>
        </is>
      </c>
      <c r="G8" s="8" t="inlineStr"/>
      <c r="H8" s="14" t="n"/>
      <c r="I8" s="14" t="n">
        <v>0</v>
      </c>
      <c r="J8" s="15" t="n"/>
      <c r="K8" s="16" t="n"/>
      <c r="L8" s="17">
        <f>IF(AND(J8="",K8=""),"",IF(H8="",K8,J8*H8+K8))</f>
        <v/>
      </c>
      <c r="M8" s="17">
        <f>IF(L8="","",L8-I8)</f>
        <v/>
      </c>
      <c r="N8" s="18" t="n">
        <v>20</v>
      </c>
      <c r="O8" s="19">
        <f>IF(L8="","",L8*N8)</f>
        <v/>
      </c>
      <c r="P8" s="19">
        <f>IF(M8="","",M8*N8)</f>
        <v/>
      </c>
      <c r="Q8" s="8" t="n"/>
      <c r="R8" s="8" t="inlineStr">
        <is>
          <t>En stock</t>
        </is>
      </c>
      <c r="S8" s="9" t="n"/>
    </row>
    <row r="9">
      <c r="A9" s="8" t="n">
        <v>3</v>
      </c>
      <c r="B9" s="8" t="inlineStr">
        <is>
          <t>Matières premières</t>
        </is>
      </c>
      <c r="C9" s="8" t="inlineStr">
        <is>
          <t>Ingrédients &gt; Autre</t>
        </is>
      </c>
      <c r="D9" s="8" t="inlineStr">
        <is>
          <t>Baignoire</t>
        </is>
      </c>
      <c r="E9" s="8" t="inlineStr"/>
      <c r="F9" s="8" t="inlineStr">
        <is>
          <t>unit</t>
        </is>
      </c>
      <c r="G9" s="8" t="inlineStr"/>
      <c r="H9" s="14" t="n"/>
      <c r="I9" s="14" t="n">
        <v>0</v>
      </c>
      <c r="J9" s="15" t="n"/>
      <c r="K9" s="16" t="n"/>
      <c r="L9" s="17">
        <f>IF(AND(J9="",K9=""),"",IF(H9="",K9,J9*H9+K9))</f>
        <v/>
      </c>
      <c r="M9" s="17">
        <f>IF(L9="","",L9-I9)</f>
        <v/>
      </c>
      <c r="N9" s="18" t="n">
        <v>230</v>
      </c>
      <c r="O9" s="19">
        <f>IF(L9="","",L9*N9)</f>
        <v/>
      </c>
      <c r="P9" s="19">
        <f>IF(M9="","",M9*N9)</f>
        <v/>
      </c>
      <c r="Q9" s="8" t="n"/>
      <c r="R9" s="8" t="inlineStr">
        <is>
          <t>En stock</t>
        </is>
      </c>
      <c r="S9" s="9" t="n"/>
    </row>
    <row r="10">
      <c r="A10" s="8" t="n">
        <v>4</v>
      </c>
      <c r="B10" s="8" t="inlineStr">
        <is>
          <t>Matières premières</t>
        </is>
      </c>
      <c r="C10" s="8" t="inlineStr">
        <is>
          <t>Ingrédients &gt; Autre</t>
        </is>
      </c>
      <c r="D10" s="8" t="inlineStr">
        <is>
          <t>Barbe de noire</t>
        </is>
      </c>
      <c r="E10" s="8" t="inlineStr"/>
      <c r="F10" s="8" t="inlineStr">
        <is>
          <t>g</t>
        </is>
      </c>
      <c r="G10" s="8" t="inlineStr"/>
      <c r="H10" s="14" t="n"/>
      <c r="I10" s="14" t="n">
        <v>0</v>
      </c>
      <c r="J10" s="15" t="n"/>
      <c r="K10" s="16" t="n"/>
      <c r="L10" s="17">
        <f>IF(AND(J10="",K10=""),"",IF(H10="",K10,J10*H10+K10))</f>
        <v/>
      </c>
      <c r="M10" s="17">
        <f>IF(L10="","",L10-I10)</f>
        <v/>
      </c>
      <c r="N10" s="18" t="n">
        <v>0.08</v>
      </c>
      <c r="O10" s="19">
        <f>IF(L10="","",L10*N10)</f>
        <v/>
      </c>
      <c r="P10" s="19">
        <f>IF(M10="","",M10*N10)</f>
        <v/>
      </c>
      <c r="Q10" s="8" t="n"/>
      <c r="R10" s="8" t="inlineStr">
        <is>
          <t>Stock a 0</t>
        </is>
      </c>
      <c r="S10" s="9" t="n"/>
    </row>
    <row r="11">
      <c r="A11" s="8" t="n">
        <v>5</v>
      </c>
      <c r="B11" s="8" t="inlineStr">
        <is>
          <t>Matières premières</t>
        </is>
      </c>
      <c r="C11" s="8" t="inlineStr">
        <is>
          <t>Ingrédients &gt; Autre</t>
        </is>
      </c>
      <c r="D11" s="8" t="inlineStr">
        <is>
          <t>Bouillon poisson (boîte 36 cubes)</t>
        </is>
      </c>
      <c r="E11" s="8" t="inlineStr">
        <is>
          <t>Idéal</t>
        </is>
      </c>
      <c r="F11" s="8" t="inlineStr">
        <is>
          <t>unit</t>
        </is>
      </c>
      <c r="G11" s="8" t="inlineStr"/>
      <c r="H11" s="14" t="n"/>
      <c r="I11" s="14" t="n">
        <v>0</v>
      </c>
      <c r="J11" s="15" t="n"/>
      <c r="K11" s="16" t="n"/>
      <c r="L11" s="17">
        <f>IF(AND(J11="",K11=""),"",IF(H11="",K11,J11*H11+K11))</f>
        <v/>
      </c>
      <c r="M11" s="17">
        <f>IF(L11="","",L11-I11)</f>
        <v/>
      </c>
      <c r="N11" s="18" t="n">
        <v>1.3889</v>
      </c>
      <c r="O11" s="19">
        <f>IF(L11="","",L11*N11)</f>
        <v/>
      </c>
      <c r="P11" s="19">
        <f>IF(M11="","",M11*N11)</f>
        <v/>
      </c>
      <c r="Q11" s="8" t="n"/>
      <c r="R11" s="8" t="inlineStr">
        <is>
          <t>Jamais recu</t>
        </is>
      </c>
      <c r="S11" s="9" t="n"/>
    </row>
    <row r="12">
      <c r="A12" s="8" t="n">
        <v>6</v>
      </c>
      <c r="B12" s="8" t="inlineStr">
        <is>
          <t>Matières premières</t>
        </is>
      </c>
      <c r="C12" s="8" t="inlineStr">
        <is>
          <t>Ingrédients &gt; Autre</t>
        </is>
      </c>
      <c r="D12" s="8" t="inlineStr">
        <is>
          <t>Boules colorées</t>
        </is>
      </c>
      <c r="E12" s="8" t="inlineStr"/>
      <c r="F12" s="8" t="inlineStr">
        <is>
          <t>unit</t>
        </is>
      </c>
      <c r="G12" s="8" t="inlineStr"/>
      <c r="H12" s="14" t="n"/>
      <c r="I12" s="14" t="n">
        <v>0</v>
      </c>
      <c r="J12" s="15" t="n"/>
      <c r="K12" s="16" t="n"/>
      <c r="L12" s="17">
        <f>IF(AND(J12="",K12=""),"",IF(H12="",K12,J12*H12+K12))</f>
        <v/>
      </c>
      <c r="M12" s="17">
        <f>IF(L12="","",L12-I12)</f>
        <v/>
      </c>
      <c r="N12" s="18" t="n">
        <v>5</v>
      </c>
      <c r="O12" s="19">
        <f>IF(L12="","",L12*N12)</f>
        <v/>
      </c>
      <c r="P12" s="19">
        <f>IF(M12="","",M12*N12)</f>
        <v/>
      </c>
      <c r="Q12" s="8" t="n"/>
      <c r="R12" s="8" t="inlineStr">
        <is>
          <t>En stock</t>
        </is>
      </c>
      <c r="S12" s="9" t="n"/>
    </row>
    <row r="13">
      <c r="A13" s="8" t="n">
        <v>7</v>
      </c>
      <c r="B13" s="8" t="inlineStr">
        <is>
          <t>Matières premières</t>
        </is>
      </c>
      <c r="C13" s="8" t="inlineStr">
        <is>
          <t>Ingrédients &gt; Autre</t>
        </is>
      </c>
      <c r="D13" s="8" t="inlineStr">
        <is>
          <t>Boulgour</t>
        </is>
      </c>
      <c r="E13" s="8" t="inlineStr"/>
      <c r="F13" s="8" t="inlineStr">
        <is>
          <t>kg</t>
        </is>
      </c>
      <c r="G13" s="8" t="inlineStr"/>
      <c r="H13" s="14" t="n"/>
      <c r="I13" s="14" t="n">
        <v>0</v>
      </c>
      <c r="J13" s="15" t="n"/>
      <c r="K13" s="16" t="n"/>
      <c r="L13" s="17">
        <f>IF(AND(J13="",K13=""),"",IF(H13="",K13,J13*H13+K13))</f>
        <v/>
      </c>
      <c r="M13" s="17">
        <f>IF(L13="","",L13-I13)</f>
        <v/>
      </c>
      <c r="N13" s="18" t="n">
        <v>7</v>
      </c>
      <c r="O13" s="19">
        <f>IF(L13="","",L13*N13)</f>
        <v/>
      </c>
      <c r="P13" s="19">
        <f>IF(M13="","",M13*N13)</f>
        <v/>
      </c>
      <c r="Q13" s="8" t="n"/>
      <c r="R13" s="8" t="inlineStr">
        <is>
          <t>Stock a 0</t>
        </is>
      </c>
      <c r="S13" s="9" t="n"/>
    </row>
    <row r="14">
      <c r="A14" s="8" t="n">
        <v>8</v>
      </c>
      <c r="B14" s="8" t="inlineStr">
        <is>
          <t>Matières premières</t>
        </is>
      </c>
      <c r="C14" s="8" t="inlineStr">
        <is>
          <t>Ingrédients &gt; Autre</t>
        </is>
      </c>
      <c r="D14" s="8" t="inlineStr">
        <is>
          <t>Brick</t>
        </is>
      </c>
      <c r="E14" s="8" t="inlineStr"/>
      <c r="F14" s="8" t="inlineStr">
        <is>
          <t>unit</t>
        </is>
      </c>
      <c r="G14" s="8" t="inlineStr"/>
      <c r="H14" s="14" t="n"/>
      <c r="I14" s="14" t="n">
        <v>0</v>
      </c>
      <c r="J14" s="15" t="n"/>
      <c r="K14" s="16" t="n"/>
      <c r="L14" s="17">
        <f>IF(AND(J14="",K14=""),"",IF(H14="",K14,J14*H14+K14))</f>
        <v/>
      </c>
      <c r="M14" s="17">
        <f>IF(L14="","",L14-I14)</f>
        <v/>
      </c>
      <c r="N14" s="18" t="n">
        <v>8</v>
      </c>
      <c r="O14" s="19">
        <f>IF(L14="","",L14*N14)</f>
        <v/>
      </c>
      <c r="P14" s="19">
        <f>IF(M14="","",M14*N14)</f>
        <v/>
      </c>
      <c r="Q14" s="8" t="n"/>
      <c r="R14" s="8" t="inlineStr">
        <is>
          <t>Stock a 0</t>
        </is>
      </c>
      <c r="S14" s="9" t="n"/>
    </row>
    <row r="15">
      <c r="A15" s="8" t="n">
        <v>9</v>
      </c>
      <c r="B15" s="8" t="inlineStr">
        <is>
          <t>Matières premières</t>
        </is>
      </c>
      <c r="C15" s="8" t="inlineStr">
        <is>
          <t>Ingrédients &gt; Autre</t>
        </is>
      </c>
      <c r="D15" s="8" t="inlineStr">
        <is>
          <t>CHOCOLAT LAIT DGF</t>
        </is>
      </c>
      <c r="E15" s="8" t="inlineStr"/>
      <c r="F15" s="8" t="inlineStr">
        <is>
          <t>kg</t>
        </is>
      </c>
      <c r="G15" s="8" t="inlineStr"/>
      <c r="H15" s="14" t="n"/>
      <c r="I15" s="14" t="n">
        <v>0</v>
      </c>
      <c r="J15" s="15" t="n"/>
      <c r="K15" s="16" t="n"/>
      <c r="L15" s="17">
        <f>IF(AND(J15="",K15=""),"",IF(H15="",K15,J15*H15+K15))</f>
        <v/>
      </c>
      <c r="M15" s="17">
        <f>IF(L15="","",L15-I15)</f>
        <v/>
      </c>
      <c r="N15" s="18" t="n">
        <v>103.33</v>
      </c>
      <c r="O15" s="19">
        <f>IF(L15="","",L15*N15)</f>
        <v/>
      </c>
      <c r="P15" s="19">
        <f>IF(M15="","",M15*N15)</f>
        <v/>
      </c>
      <c r="Q15" s="8" t="n"/>
      <c r="R15" s="8" t="inlineStr">
        <is>
          <t>En stock</t>
        </is>
      </c>
      <c r="S15" s="9" t="n"/>
    </row>
    <row r="16">
      <c r="A16" s="8" t="n">
        <v>10</v>
      </c>
      <c r="B16" s="8" t="inlineStr">
        <is>
          <t>Matières premières</t>
        </is>
      </c>
      <c r="C16" s="8" t="inlineStr">
        <is>
          <t>Ingrédients &gt; Autre</t>
        </is>
      </c>
      <c r="D16" s="8" t="inlineStr">
        <is>
          <t>CHOCOLAT NOIR DGF</t>
        </is>
      </c>
      <c r="E16" s="8" t="inlineStr"/>
      <c r="F16" s="8" t="inlineStr">
        <is>
          <t>kg</t>
        </is>
      </c>
      <c r="G16" s="8" t="inlineStr"/>
      <c r="H16" s="14" t="n"/>
      <c r="I16" s="14" t="n">
        <v>0</v>
      </c>
      <c r="J16" s="15" t="n"/>
      <c r="K16" s="16" t="n"/>
      <c r="L16" s="17">
        <f>IF(AND(J16="",K16=""),"",IF(H16="",K16,J16*H16+K16))</f>
        <v/>
      </c>
      <c r="M16" s="17">
        <f>IF(L16="","",L16-I16)</f>
        <v/>
      </c>
      <c r="N16" s="18" t="n">
        <v>99.17</v>
      </c>
      <c r="O16" s="19">
        <f>IF(L16="","",L16*N16)</f>
        <v/>
      </c>
      <c r="P16" s="19">
        <f>IF(M16="","",M16*N16)</f>
        <v/>
      </c>
      <c r="Q16" s="8" t="n"/>
      <c r="R16" s="8" t="inlineStr">
        <is>
          <t>En stock</t>
        </is>
      </c>
      <c r="S16" s="9" t="n"/>
    </row>
    <row r="17">
      <c r="A17" s="8" t="n">
        <v>11</v>
      </c>
      <c r="B17" s="8" t="inlineStr">
        <is>
          <t>Matières premières</t>
        </is>
      </c>
      <c r="C17" s="8" t="inlineStr">
        <is>
          <t>Ingrédients &gt; Autre</t>
        </is>
      </c>
      <c r="D17" s="8" t="inlineStr">
        <is>
          <t>COMPTE  de pomme</t>
        </is>
      </c>
      <c r="E17" s="8" t="inlineStr"/>
      <c r="F17" s="8" t="inlineStr">
        <is>
          <t>unit</t>
        </is>
      </c>
      <c r="G17" s="8" t="inlineStr"/>
      <c r="H17" s="14" t="n"/>
      <c r="I17" s="14" t="n">
        <v>0</v>
      </c>
      <c r="J17" s="15" t="n"/>
      <c r="K17" s="16" t="n"/>
      <c r="L17" s="17">
        <f>IF(AND(J17="",K17=""),"",IF(H17="",K17,J17*H17+K17))</f>
        <v/>
      </c>
      <c r="M17" s="17">
        <f>IF(L17="","",L17-I17)</f>
        <v/>
      </c>
      <c r="N17" s="18" t="n">
        <v>0</v>
      </c>
      <c r="O17" s="19">
        <f>IF(L17="","",L17*N17)</f>
        <v/>
      </c>
      <c r="P17" s="19">
        <f>IF(M17="","",M17*N17)</f>
        <v/>
      </c>
      <c r="Q17" s="8" t="n"/>
      <c r="R17" s="8" t="inlineStr">
        <is>
          <t>Jamais recu</t>
        </is>
      </c>
      <c r="S17" s="9" t="n"/>
    </row>
    <row r="18">
      <c r="A18" s="8" t="n">
        <v>12</v>
      </c>
      <c r="B18" s="8" t="inlineStr">
        <is>
          <t>Matières premières</t>
        </is>
      </c>
      <c r="C18" s="8" t="inlineStr">
        <is>
          <t>Ingrédients &gt; Autre</t>
        </is>
      </c>
      <c r="D18" s="8" t="inlineStr">
        <is>
          <t>COMPTE DE POMME</t>
        </is>
      </c>
      <c r="E18" s="8" t="inlineStr"/>
      <c r="F18" s="8" t="inlineStr">
        <is>
          <t>unit</t>
        </is>
      </c>
      <c r="G18" s="8" t="inlineStr"/>
      <c r="H18" s="14" t="n"/>
      <c r="I18" s="14" t="n">
        <v>0</v>
      </c>
      <c r="J18" s="15" t="n"/>
      <c r="K18" s="16" t="n"/>
      <c r="L18" s="17">
        <f>IF(AND(J18="",K18=""),"",IF(H18="",K18,J18*H18+K18))</f>
        <v/>
      </c>
      <c r="M18" s="17">
        <f>IF(L18="","",L18-I18)</f>
        <v/>
      </c>
      <c r="N18" s="18" t="n">
        <v>140.83</v>
      </c>
      <c r="O18" s="19">
        <f>IF(L18="","",L18*N18)</f>
        <v/>
      </c>
      <c r="P18" s="19">
        <f>IF(M18="","",M18*N18)</f>
        <v/>
      </c>
      <c r="Q18" s="8" t="n"/>
      <c r="R18" s="8" t="inlineStr">
        <is>
          <t>Stock a 0</t>
        </is>
      </c>
      <c r="S18" s="9" t="n"/>
    </row>
    <row r="19">
      <c r="A19" s="8" t="n">
        <v>13</v>
      </c>
      <c r="B19" s="8" t="inlineStr">
        <is>
          <t>Matières premières</t>
        </is>
      </c>
      <c r="C19" s="8" t="inlineStr">
        <is>
          <t>Ingrédients &gt; Autre</t>
        </is>
      </c>
      <c r="D19" s="8" t="inlineStr">
        <is>
          <t>CREME PATISSIERE</t>
        </is>
      </c>
      <c r="E19" s="8" t="inlineStr"/>
      <c r="F19" s="8" t="inlineStr">
        <is>
          <t>kg</t>
        </is>
      </c>
      <c r="G19" s="8" t="inlineStr"/>
      <c r="H19" s="14" t="n"/>
      <c r="I19" s="14" t="n">
        <v>0</v>
      </c>
      <c r="J19" s="15" t="n"/>
      <c r="K19" s="16" t="n"/>
      <c r="L19" s="17">
        <f>IF(AND(J19="",K19=""),"",IF(H19="",K19,J19*H19+K19))</f>
        <v/>
      </c>
      <c r="M19" s="17">
        <f>IF(L19="","",L19-I19)</f>
        <v/>
      </c>
      <c r="N19" s="18" t="n">
        <v>9.83</v>
      </c>
      <c r="O19" s="19">
        <f>IF(L19="","",L19*N19)</f>
        <v/>
      </c>
      <c r="P19" s="19">
        <f>IF(M19="","",M19*N19)</f>
        <v/>
      </c>
      <c r="Q19" s="8" t="n"/>
      <c r="R19" s="8" t="inlineStr">
        <is>
          <t>En stock</t>
        </is>
      </c>
      <c r="S19" s="9" t="n"/>
    </row>
    <row r="20">
      <c r="A20" s="8" t="n">
        <v>14</v>
      </c>
      <c r="B20" s="8" t="inlineStr">
        <is>
          <t>Matières premières</t>
        </is>
      </c>
      <c r="C20" s="8" t="inlineStr">
        <is>
          <t>Ingrédients &gt; Autre</t>
        </is>
      </c>
      <c r="D20" s="8" t="inlineStr">
        <is>
          <t>CURCUMA</t>
        </is>
      </c>
      <c r="E20" s="8" t="inlineStr"/>
      <c r="F20" s="8" t="inlineStr">
        <is>
          <t>g</t>
        </is>
      </c>
      <c r="G20" s="8" t="inlineStr"/>
      <c r="H20" s="14" t="n"/>
      <c r="I20" s="14" t="n">
        <v>0</v>
      </c>
      <c r="J20" s="15" t="n"/>
      <c r="K20" s="16" t="n"/>
      <c r="L20" s="17">
        <f>IF(AND(J20="",K20=""),"",IF(H20="",K20,J20*H20+K20))</f>
        <v/>
      </c>
      <c r="M20" s="17">
        <f>IF(L20="","",L20-I20)</f>
        <v/>
      </c>
      <c r="N20" s="18" t="n">
        <v>0.06</v>
      </c>
      <c r="O20" s="19">
        <f>IF(L20="","",L20*N20)</f>
        <v/>
      </c>
      <c r="P20" s="19">
        <f>IF(M20="","",M20*N20)</f>
        <v/>
      </c>
      <c r="Q20" s="8" t="n"/>
      <c r="R20" s="8" t="inlineStr">
        <is>
          <t>En stock</t>
        </is>
      </c>
      <c r="S20" s="9" t="n"/>
    </row>
    <row r="21">
      <c r="A21" s="8" t="n">
        <v>15</v>
      </c>
      <c r="B21" s="8" t="inlineStr">
        <is>
          <t>Matières premières</t>
        </is>
      </c>
      <c r="C21" s="8" t="inlineStr">
        <is>
          <t>Ingrédients &gt; Autre</t>
        </is>
      </c>
      <c r="D21" s="8" t="inlineStr">
        <is>
          <t>Cacahuète</t>
        </is>
      </c>
      <c r="E21" s="8" t="inlineStr"/>
      <c r="F21" s="8" t="inlineStr">
        <is>
          <t>g</t>
        </is>
      </c>
      <c r="G21" s="8" t="inlineStr"/>
      <c r="H21" s="14" t="n"/>
      <c r="I21" s="14" t="n">
        <v>0</v>
      </c>
      <c r="J21" s="15" t="n"/>
      <c r="K21" s="16" t="n"/>
      <c r="L21" s="17">
        <f>IF(AND(J21="",K21=""),"",IF(H21="",K21,J21*H21+K21))</f>
        <v/>
      </c>
      <c r="M21" s="17">
        <f>IF(L21="","",L21-I21)</f>
        <v/>
      </c>
      <c r="N21" s="18" t="n">
        <v>10</v>
      </c>
      <c r="O21" s="19">
        <f>IF(L21="","",L21*N21)</f>
        <v/>
      </c>
      <c r="P21" s="19">
        <f>IF(M21="","",M21*N21)</f>
        <v/>
      </c>
      <c r="Q21" s="8" t="n"/>
      <c r="R21" s="8" t="inlineStr">
        <is>
          <t>En stock</t>
        </is>
      </c>
      <c r="S21" s="9" t="n"/>
    </row>
    <row r="22">
      <c r="A22" s="8" t="n">
        <v>16</v>
      </c>
      <c r="B22" s="8" t="inlineStr">
        <is>
          <t>Matières premières</t>
        </is>
      </c>
      <c r="C22" s="8" t="inlineStr">
        <is>
          <t>Ingrédients &gt; Autre</t>
        </is>
      </c>
      <c r="D22" s="8" t="inlineStr">
        <is>
          <t>Café templier</t>
        </is>
      </c>
      <c r="E22" s="8" t="inlineStr"/>
      <c r="F22" s="8" t="inlineStr">
        <is>
          <t>kg</t>
        </is>
      </c>
      <c r="G22" s="8" t="inlineStr"/>
      <c r="H22" s="14" t="n"/>
      <c r="I22" s="14" t="n">
        <v>0</v>
      </c>
      <c r="J22" s="15" t="n"/>
      <c r="K22" s="16" t="n"/>
      <c r="L22" s="17">
        <f>IF(AND(J22="",K22=""),"",IF(H22="",K22,J22*H22+K22))</f>
        <v/>
      </c>
      <c r="M22" s="17">
        <f>IF(L22="","",L22-I22)</f>
        <v/>
      </c>
      <c r="N22" s="18" t="n">
        <v>0</v>
      </c>
      <c r="O22" s="19">
        <f>IF(L22="","",L22*N22)</f>
        <v/>
      </c>
      <c r="P22" s="19">
        <f>IF(M22="","",M22*N22)</f>
        <v/>
      </c>
      <c r="Q22" s="8" t="n"/>
      <c r="R22" s="8" t="inlineStr">
        <is>
          <t>Jamais recu</t>
        </is>
      </c>
      <c r="S22" s="9" t="n"/>
    </row>
    <row r="23">
      <c r="A23" s="8" t="n">
        <v>17</v>
      </c>
      <c r="B23" s="8" t="inlineStr">
        <is>
          <t>Matières premières</t>
        </is>
      </c>
      <c r="C23" s="8" t="inlineStr">
        <is>
          <t>Ingrédients &gt; Autre</t>
        </is>
      </c>
      <c r="D23" s="8" t="inlineStr">
        <is>
          <t>Champignon</t>
        </is>
      </c>
      <c r="E23" s="8" t="inlineStr"/>
      <c r="F23" s="8" t="inlineStr">
        <is>
          <t>unit</t>
        </is>
      </c>
      <c r="G23" s="8" t="inlineStr"/>
      <c r="H23" s="14" t="n"/>
      <c r="I23" s="14" t="n">
        <v>0</v>
      </c>
      <c r="J23" s="15" t="n"/>
      <c r="K23" s="16" t="n"/>
      <c r="L23" s="17">
        <f>IF(AND(J23="",K23=""),"",IF(H23="",K23,J23*H23+K23))</f>
        <v/>
      </c>
      <c r="M23" s="17">
        <f>IF(L23="","",L23-I23)</f>
        <v/>
      </c>
      <c r="N23" s="18" t="n">
        <v>20</v>
      </c>
      <c r="O23" s="19">
        <f>IF(L23="","",L23*N23)</f>
        <v/>
      </c>
      <c r="P23" s="19">
        <f>IF(M23="","",M23*N23)</f>
        <v/>
      </c>
      <c r="Q23" s="8" t="n"/>
      <c r="R23" s="8" t="inlineStr">
        <is>
          <t>En stock</t>
        </is>
      </c>
      <c r="S23" s="9" t="n"/>
    </row>
    <row r="24">
      <c r="A24" s="8" t="n">
        <v>18</v>
      </c>
      <c r="B24" s="8" t="inlineStr">
        <is>
          <t>Matières premières</t>
        </is>
      </c>
      <c r="C24" s="8" t="inlineStr">
        <is>
          <t>Ingrédients &gt; Autre</t>
        </is>
      </c>
      <c r="D24" s="8" t="inlineStr">
        <is>
          <t>Champignons noir</t>
        </is>
      </c>
      <c r="E24" s="8" t="inlineStr"/>
      <c r="F24" s="8" t="inlineStr">
        <is>
          <t>g</t>
        </is>
      </c>
      <c r="G24" s="8" t="inlineStr"/>
      <c r="H24" s="14" t="n"/>
      <c r="I24" s="14" t="n">
        <v>0</v>
      </c>
      <c r="J24" s="15" t="n"/>
      <c r="K24" s="16" t="n"/>
      <c r="L24" s="17">
        <f>IF(AND(J24="",K24=""),"",IF(H24="",K24,J24*H24+K24))</f>
        <v/>
      </c>
      <c r="M24" s="17">
        <f>IF(L24="","",L24-I24)</f>
        <v/>
      </c>
      <c r="N24" s="18" t="n">
        <v>0.18</v>
      </c>
      <c r="O24" s="19">
        <f>IF(L24="","",L24*N24)</f>
        <v/>
      </c>
      <c r="P24" s="19">
        <f>IF(M24="","",M24*N24)</f>
        <v/>
      </c>
      <c r="Q24" s="8" t="n"/>
      <c r="R24" s="8" t="inlineStr">
        <is>
          <t>En stock</t>
        </is>
      </c>
      <c r="S24" s="9" t="n"/>
    </row>
    <row r="25">
      <c r="A25" s="8" t="n">
        <v>19</v>
      </c>
      <c r="B25" s="8" t="inlineStr">
        <is>
          <t>Matières premières</t>
        </is>
      </c>
      <c r="C25" s="8" t="inlineStr">
        <is>
          <t>Ingrédients &gt; Autre</t>
        </is>
      </c>
      <c r="D25" s="8" t="inlineStr">
        <is>
          <t>Chemise perforée</t>
        </is>
      </c>
      <c r="E25" s="8" t="inlineStr"/>
      <c r="F25" s="8" t="inlineStr">
        <is>
          <t>unit</t>
        </is>
      </c>
      <c r="G25" s="8" t="inlineStr"/>
      <c r="H25" s="14" t="n"/>
      <c r="I25" s="14" t="n">
        <v>0</v>
      </c>
      <c r="J25" s="15" t="n"/>
      <c r="K25" s="16" t="n"/>
      <c r="L25" s="17">
        <f>IF(AND(J25="",K25=""),"",IF(H25="",K25,J25*H25+K25))</f>
        <v/>
      </c>
      <c r="M25" s="17">
        <f>IF(L25="","",L25-I25)</f>
        <v/>
      </c>
      <c r="N25" s="18" t="n">
        <v>85</v>
      </c>
      <c r="O25" s="19">
        <f>IF(L25="","",L25*N25)</f>
        <v/>
      </c>
      <c r="P25" s="19">
        <f>IF(M25="","",M25*N25)</f>
        <v/>
      </c>
      <c r="Q25" s="8" t="n"/>
      <c r="R25" s="8" t="inlineStr">
        <is>
          <t>Stock a 0</t>
        </is>
      </c>
      <c r="S25" s="9" t="n"/>
    </row>
    <row r="26">
      <c r="A26" s="8" t="n">
        <v>20</v>
      </c>
      <c r="B26" s="8" t="inlineStr">
        <is>
          <t>Matières premières</t>
        </is>
      </c>
      <c r="C26" s="8" t="inlineStr">
        <is>
          <t>Ingrédients &gt; Autre</t>
        </is>
      </c>
      <c r="D26" s="8" t="inlineStr">
        <is>
          <t>Chemise à rabat</t>
        </is>
      </c>
      <c r="E26" s="8" t="inlineStr"/>
      <c r="F26" s="8" t="inlineStr">
        <is>
          <t>unit</t>
        </is>
      </c>
      <c r="G26" s="8" t="inlineStr"/>
      <c r="H26" s="14" t="n"/>
      <c r="I26" s="14" t="n">
        <v>0</v>
      </c>
      <c r="J26" s="15" t="n"/>
      <c r="K26" s="16" t="n"/>
      <c r="L26" s="17">
        <f>IF(AND(J26="",K26=""),"",IF(H26="",K26,J26*H26+K26))</f>
        <v/>
      </c>
      <c r="M26" s="17">
        <f>IF(L26="","",L26-I26)</f>
        <v/>
      </c>
      <c r="N26" s="18" t="n">
        <v>10</v>
      </c>
      <c r="O26" s="19">
        <f>IF(L26="","",L26*N26)</f>
        <v/>
      </c>
      <c r="P26" s="19">
        <f>IF(M26="","",M26*N26)</f>
        <v/>
      </c>
      <c r="Q26" s="8" t="n"/>
      <c r="R26" s="8" t="inlineStr">
        <is>
          <t>Stock a 0</t>
        </is>
      </c>
      <c r="S26" s="9" t="n"/>
    </row>
    <row r="27">
      <c r="A27" s="8" t="n">
        <v>21</v>
      </c>
      <c r="B27" s="8" t="inlineStr">
        <is>
          <t>Matières premières</t>
        </is>
      </c>
      <c r="C27" s="8" t="inlineStr">
        <is>
          <t>Ingrédients &gt; Autre</t>
        </is>
      </c>
      <c r="D27" s="8" t="inlineStr">
        <is>
          <t>Classeur à levier</t>
        </is>
      </c>
      <c r="E27" s="8" t="inlineStr"/>
      <c r="F27" s="8" t="inlineStr">
        <is>
          <t>unit</t>
        </is>
      </c>
      <c r="G27" s="8" t="inlineStr"/>
      <c r="H27" s="14" t="n"/>
      <c r="I27" s="14" t="n">
        <v>0</v>
      </c>
      <c r="J27" s="15" t="n"/>
      <c r="K27" s="16" t="n"/>
      <c r="L27" s="17">
        <f>IF(AND(J27="",K27=""),"",IF(H27="",K27,J27*H27+K27))</f>
        <v/>
      </c>
      <c r="M27" s="17">
        <f>IF(L27="","",L27-I27)</f>
        <v/>
      </c>
      <c r="N27" s="18" t="n">
        <v>25</v>
      </c>
      <c r="O27" s="19">
        <f>IF(L27="","",L27*N27)</f>
        <v/>
      </c>
      <c r="P27" s="19">
        <f>IF(M27="","",M27*N27)</f>
        <v/>
      </c>
      <c r="Q27" s="8" t="n"/>
      <c r="R27" s="8" t="inlineStr">
        <is>
          <t>Stock a 0</t>
        </is>
      </c>
      <c r="S27" s="9" t="n"/>
    </row>
    <row r="28">
      <c r="A28" s="8" t="n">
        <v>22</v>
      </c>
      <c r="B28" s="8" t="inlineStr">
        <is>
          <t>Matières premières</t>
        </is>
      </c>
      <c r="C28" s="8" t="inlineStr">
        <is>
          <t>Ingrédients &gt; Autre</t>
        </is>
      </c>
      <c r="D28" s="8" t="inlineStr">
        <is>
          <t>Confiure</t>
        </is>
      </c>
      <c r="E28" s="8" t="inlineStr"/>
      <c r="F28" s="8" t="inlineStr">
        <is>
          <t>kg</t>
        </is>
      </c>
      <c r="G28" s="8" t="inlineStr"/>
      <c r="H28" s="14" t="n"/>
      <c r="I28" s="14" t="n">
        <v>0</v>
      </c>
      <c r="J28" s="15" t="n"/>
      <c r="K28" s="16" t="n"/>
      <c r="L28" s="17">
        <f>IF(AND(J28="",K28=""),"",IF(H28="",K28,J28*H28+K28))</f>
        <v/>
      </c>
      <c r="M28" s="17">
        <f>IF(L28="","",L28-I28)</f>
        <v/>
      </c>
      <c r="N28" s="18" t="n">
        <v>21.25</v>
      </c>
      <c r="O28" s="19">
        <f>IF(L28="","",L28*N28)</f>
        <v/>
      </c>
      <c r="P28" s="19">
        <f>IF(M28="","",M28*N28)</f>
        <v/>
      </c>
      <c r="Q28" s="8" t="n"/>
      <c r="R28" s="8" t="inlineStr">
        <is>
          <t>Stock a 0</t>
        </is>
      </c>
      <c r="S28" s="9" t="n"/>
    </row>
    <row r="29">
      <c r="A29" s="8" t="n">
        <v>23</v>
      </c>
      <c r="B29" s="8" t="inlineStr">
        <is>
          <t>Matières premières</t>
        </is>
      </c>
      <c r="C29" s="8" t="inlineStr">
        <is>
          <t>Ingrédients &gt; Autre</t>
        </is>
      </c>
      <c r="D29" s="8" t="inlineStr">
        <is>
          <t>Courgette</t>
        </is>
      </c>
      <c r="E29" s="8" t="inlineStr"/>
      <c r="F29" s="8" t="inlineStr">
        <is>
          <t>kg</t>
        </is>
      </c>
      <c r="G29" s="8" t="inlineStr"/>
      <c r="H29" s="14" t="n"/>
      <c r="I29" s="14" t="n">
        <v>0</v>
      </c>
      <c r="J29" s="15" t="n"/>
      <c r="K29" s="16" t="n"/>
      <c r="L29" s="17">
        <f>IF(AND(J29="",K29=""),"",IF(H29="",K29,J29*H29+K29))</f>
        <v/>
      </c>
      <c r="M29" s="17">
        <f>IF(L29="","",L29-I29)</f>
        <v/>
      </c>
      <c r="N29" s="18" t="n">
        <v>10</v>
      </c>
      <c r="O29" s="19">
        <f>IF(L29="","",L29*N29)</f>
        <v/>
      </c>
      <c r="P29" s="19">
        <f>IF(M29="","",M29*N29)</f>
        <v/>
      </c>
      <c r="Q29" s="8" t="n"/>
      <c r="R29" s="8" t="inlineStr">
        <is>
          <t>En stock</t>
        </is>
      </c>
      <c r="S29" s="9" t="n"/>
    </row>
    <row r="30">
      <c r="A30" s="8" t="n">
        <v>24</v>
      </c>
      <c r="B30" s="8" t="inlineStr">
        <is>
          <t>Matières premières</t>
        </is>
      </c>
      <c r="C30" s="8" t="inlineStr">
        <is>
          <t>Ingrédients &gt; Autre</t>
        </is>
      </c>
      <c r="D30" s="8" t="inlineStr">
        <is>
          <t>Cream caramel</t>
        </is>
      </c>
      <c r="E30" s="8" t="inlineStr"/>
      <c r="F30" s="8" t="inlineStr">
        <is>
          <t>kg</t>
        </is>
      </c>
      <c r="G30" s="8" t="inlineStr"/>
      <c r="H30" s="14" t="n"/>
      <c r="I30" s="14" t="n">
        <v>0</v>
      </c>
      <c r="J30" s="15" t="n"/>
      <c r="K30" s="16" t="n"/>
      <c r="L30" s="17">
        <f>IF(AND(J30="",K30=""),"",IF(H30="",K30,J30*H30+K30))</f>
        <v/>
      </c>
      <c r="M30" s="17">
        <f>IF(L30="","",L30-I30)</f>
        <v/>
      </c>
      <c r="N30" s="18" t="n">
        <v>26.25</v>
      </c>
      <c r="O30" s="19">
        <f>IF(L30="","",L30*N30)</f>
        <v/>
      </c>
      <c r="P30" s="19">
        <f>IF(M30="","",M30*N30)</f>
        <v/>
      </c>
      <c r="Q30" s="8" t="n"/>
      <c r="R30" s="8" t="inlineStr">
        <is>
          <t>En stock</t>
        </is>
      </c>
      <c r="S30" s="9" t="n"/>
    </row>
    <row r="31">
      <c r="A31" s="8" t="n">
        <v>25</v>
      </c>
      <c r="B31" s="8" t="inlineStr">
        <is>
          <t>Matières premières</t>
        </is>
      </c>
      <c r="C31" s="8" t="inlineStr">
        <is>
          <t>Ingrédients &gt; Autre</t>
        </is>
      </c>
      <c r="D31" s="8" t="inlineStr">
        <is>
          <t>Creme de pistach</t>
        </is>
      </c>
      <c r="E31" s="8" t="inlineStr"/>
      <c r="F31" s="8" t="inlineStr">
        <is>
          <t>unit</t>
        </is>
      </c>
      <c r="G31" s="8" t="inlineStr"/>
      <c r="H31" s="14" t="n"/>
      <c r="I31" s="14" t="n">
        <v>0</v>
      </c>
      <c r="J31" s="15" t="n"/>
      <c r="K31" s="16" t="n"/>
      <c r="L31" s="17">
        <f>IF(AND(J31="",K31=""),"",IF(H31="",K31,J31*H31+K31))</f>
        <v/>
      </c>
      <c r="M31" s="17">
        <f>IF(L31="","",L31-I31)</f>
        <v/>
      </c>
      <c r="N31" s="18" t="n">
        <v>140</v>
      </c>
      <c r="O31" s="19">
        <f>IF(L31="","",L31*N31)</f>
        <v/>
      </c>
      <c r="P31" s="19">
        <f>IF(M31="","",M31*N31)</f>
        <v/>
      </c>
      <c r="Q31" s="8" t="n"/>
      <c r="R31" s="8" t="inlineStr">
        <is>
          <t>Stock a 0</t>
        </is>
      </c>
      <c r="S31" s="9" t="n"/>
    </row>
    <row r="32">
      <c r="A32" s="8" t="n">
        <v>26</v>
      </c>
      <c r="B32" s="8" t="inlineStr">
        <is>
          <t>Matières premières</t>
        </is>
      </c>
      <c r="C32" s="8" t="inlineStr">
        <is>
          <t>Ingrédients &gt; Autre</t>
        </is>
      </c>
      <c r="D32" s="8" t="inlineStr">
        <is>
          <t>Crème citron</t>
        </is>
      </c>
      <c r="E32" s="8" t="inlineStr"/>
      <c r="F32" s="8" t="inlineStr">
        <is>
          <t>kg</t>
        </is>
      </c>
      <c r="G32" s="8" t="inlineStr"/>
      <c r="H32" s="14" t="n"/>
      <c r="I32" s="14" t="n">
        <v>0</v>
      </c>
      <c r="J32" s="15" t="n"/>
      <c r="K32" s="16" t="n"/>
      <c r="L32" s="17">
        <f>IF(AND(J32="",K32=""),"",IF(H32="",K32,J32*H32+K32))</f>
        <v/>
      </c>
      <c r="M32" s="17">
        <f>IF(L32="","",L32-I32)</f>
        <v/>
      </c>
      <c r="N32" s="18" t="n">
        <v>27.5</v>
      </c>
      <c r="O32" s="19">
        <f>IF(L32="","",L32*N32)</f>
        <v/>
      </c>
      <c r="P32" s="19">
        <f>IF(M32="","",M32*N32)</f>
        <v/>
      </c>
      <c r="Q32" s="8" t="n"/>
      <c r="R32" s="8" t="inlineStr">
        <is>
          <t>En stock</t>
        </is>
      </c>
      <c r="S32" s="9" t="n"/>
    </row>
    <row r="33">
      <c r="A33" s="8" t="n">
        <v>27</v>
      </c>
      <c r="B33" s="8" t="inlineStr">
        <is>
          <t>Matières premières</t>
        </is>
      </c>
      <c r="C33" s="8" t="inlineStr">
        <is>
          <t>Ingrédients &gt; Autre</t>
        </is>
      </c>
      <c r="D33" s="8" t="inlineStr">
        <is>
          <t>Créme de pistache</t>
        </is>
      </c>
      <c r="E33" s="8" t="inlineStr"/>
      <c r="F33" s="8" t="inlineStr">
        <is>
          <t>unit</t>
        </is>
      </c>
      <c r="G33" s="8" t="inlineStr"/>
      <c r="H33" s="14" t="n"/>
      <c r="I33" s="14" t="n">
        <v>0</v>
      </c>
      <c r="J33" s="15" t="n"/>
      <c r="K33" s="16" t="n"/>
      <c r="L33" s="17">
        <f>IF(AND(J33="",K33=""),"",IF(H33="",K33,J33*H33+K33))</f>
        <v/>
      </c>
      <c r="M33" s="17">
        <f>IF(L33="","",L33-I33)</f>
        <v/>
      </c>
      <c r="N33" s="18" t="n">
        <v>0</v>
      </c>
      <c r="O33" s="19">
        <f>IF(L33="","",L33*N33)</f>
        <v/>
      </c>
      <c r="P33" s="19">
        <f>IF(M33="","",M33*N33)</f>
        <v/>
      </c>
      <c r="Q33" s="8" t="n"/>
      <c r="R33" s="8" t="inlineStr">
        <is>
          <t>Jamais recu</t>
        </is>
      </c>
      <c r="S33" s="9" t="n"/>
    </row>
    <row r="34">
      <c r="A34" s="8" t="n">
        <v>28</v>
      </c>
      <c r="B34" s="8" t="inlineStr">
        <is>
          <t>Matières premières</t>
        </is>
      </c>
      <c r="C34" s="8" t="inlineStr">
        <is>
          <t>Ingrédients &gt; Autre</t>
        </is>
      </c>
      <c r="D34" s="8" t="inlineStr">
        <is>
          <t>Cuillères</t>
        </is>
      </c>
      <c r="E34" s="8" t="inlineStr"/>
      <c r="F34" s="8" t="inlineStr">
        <is>
          <t>unit</t>
        </is>
      </c>
      <c r="G34" s="8" t="inlineStr"/>
      <c r="H34" s="14" t="n"/>
      <c r="I34" s="14" t="n">
        <v>0</v>
      </c>
      <c r="J34" s="15" t="n"/>
      <c r="K34" s="16" t="n"/>
      <c r="L34" s="17">
        <f>IF(AND(J34="",K34=""),"",IF(H34="",K34,J34*H34+K34))</f>
        <v/>
      </c>
      <c r="M34" s="17">
        <f>IF(L34="","",L34-I34)</f>
        <v/>
      </c>
      <c r="N34" s="18" t="n">
        <v>9</v>
      </c>
      <c r="O34" s="19">
        <f>IF(L34="","",L34*N34)</f>
        <v/>
      </c>
      <c r="P34" s="19">
        <f>IF(M34="","",M34*N34)</f>
        <v/>
      </c>
      <c r="Q34" s="8" t="n"/>
      <c r="R34" s="8" t="inlineStr">
        <is>
          <t>En stock</t>
        </is>
      </c>
      <c r="S34" s="9" t="n"/>
    </row>
    <row r="35">
      <c r="A35" s="8" t="n">
        <v>29</v>
      </c>
      <c r="B35" s="8" t="inlineStr">
        <is>
          <t>Matières premières</t>
        </is>
      </c>
      <c r="C35" s="8" t="inlineStr">
        <is>
          <t>Ingrédients &gt; Autre</t>
        </is>
      </c>
      <c r="D35" s="8" t="inlineStr">
        <is>
          <t>Cumin</t>
        </is>
      </c>
      <c r="E35" s="8" t="inlineStr"/>
      <c r="F35" s="8" t="inlineStr">
        <is>
          <t>g</t>
        </is>
      </c>
      <c r="G35" s="8" t="inlineStr"/>
      <c r="H35" s="14" t="n"/>
      <c r="I35" s="14" t="n">
        <v>0</v>
      </c>
      <c r="J35" s="15" t="n"/>
      <c r="K35" s="16" t="n"/>
      <c r="L35" s="17">
        <f>IF(AND(J35="",K35=""),"",IF(H35="",K35,J35*H35+K35))</f>
        <v/>
      </c>
      <c r="M35" s="17">
        <f>IF(L35="","",L35-I35)</f>
        <v/>
      </c>
      <c r="N35" s="18" t="n">
        <v>0.08</v>
      </c>
      <c r="O35" s="19">
        <f>IF(L35="","",L35*N35)</f>
        <v/>
      </c>
      <c r="P35" s="19">
        <f>IF(M35="","",M35*N35)</f>
        <v/>
      </c>
      <c r="Q35" s="8" t="n"/>
      <c r="R35" s="8" t="inlineStr">
        <is>
          <t>En stock</t>
        </is>
      </c>
      <c r="S35" s="9" t="n"/>
    </row>
    <row r="36">
      <c r="A36" s="8" t="n">
        <v>30</v>
      </c>
      <c r="B36" s="8" t="inlineStr">
        <is>
          <t>Matières premières</t>
        </is>
      </c>
      <c r="C36" s="8" t="inlineStr">
        <is>
          <t>Ingrédients &gt; Autre</t>
        </is>
      </c>
      <c r="D36" s="8" t="inlineStr">
        <is>
          <t>Décors en sucre</t>
        </is>
      </c>
      <c r="E36" s="8" t="inlineStr"/>
      <c r="F36" s="8" t="inlineStr">
        <is>
          <t>unit</t>
        </is>
      </c>
      <c r="G36" s="8" t="inlineStr"/>
      <c r="H36" s="14" t="n"/>
      <c r="I36" s="14" t="n">
        <v>0</v>
      </c>
      <c r="J36" s="15" t="n"/>
      <c r="K36" s="16" t="n"/>
      <c r="L36" s="17">
        <f>IF(AND(J36="",K36=""),"",IF(H36="",K36,J36*H36+K36))</f>
        <v/>
      </c>
      <c r="M36" s="17">
        <f>IF(L36="","",L36-I36)</f>
        <v/>
      </c>
      <c r="N36" s="18" t="n">
        <v>24</v>
      </c>
      <c r="O36" s="19">
        <f>IF(L36="","",L36*N36)</f>
        <v/>
      </c>
      <c r="P36" s="19">
        <f>IF(M36="","",M36*N36)</f>
        <v/>
      </c>
      <c r="Q36" s="8" t="n"/>
      <c r="R36" s="8" t="inlineStr">
        <is>
          <t>En stock</t>
        </is>
      </c>
      <c r="S36" s="9" t="n"/>
    </row>
    <row r="37">
      <c r="A37" s="8" t="n">
        <v>31</v>
      </c>
      <c r="B37" s="8" t="inlineStr">
        <is>
          <t>Matières premières</t>
        </is>
      </c>
      <c r="C37" s="8" t="inlineStr">
        <is>
          <t>Ingrédients &gt; Autre</t>
        </is>
      </c>
      <c r="D37" s="8" t="inlineStr">
        <is>
          <t>Eau</t>
        </is>
      </c>
      <c r="E37" s="8" t="inlineStr"/>
      <c r="F37" s="8" t="inlineStr">
        <is>
          <t>l</t>
        </is>
      </c>
      <c r="G37" s="8" t="inlineStr"/>
      <c r="H37" s="14" t="n"/>
      <c r="I37" s="14" t="n">
        <v>0</v>
      </c>
      <c r="J37" s="15" t="n"/>
      <c r="K37" s="16" t="n"/>
      <c r="L37" s="17">
        <f>IF(AND(J37="",K37=""),"",IF(H37="",K37,J37*H37+K37))</f>
        <v/>
      </c>
      <c r="M37" s="17">
        <f>IF(L37="","",L37-I37)</f>
        <v/>
      </c>
      <c r="N37" s="18" t="n">
        <v>0.5</v>
      </c>
      <c r="O37" s="19">
        <f>IF(L37="","",L37*N37)</f>
        <v/>
      </c>
      <c r="P37" s="19">
        <f>IF(M37="","",M37*N37)</f>
        <v/>
      </c>
      <c r="Q37" s="8" t="n"/>
      <c r="R37" s="8" t="inlineStr">
        <is>
          <t>Jamais recu</t>
        </is>
      </c>
      <c r="S37" s="9" t="n"/>
    </row>
    <row r="38">
      <c r="A38" s="8" t="n">
        <v>32</v>
      </c>
      <c r="B38" s="8" t="inlineStr">
        <is>
          <t>Matières premières</t>
        </is>
      </c>
      <c r="C38" s="8" t="inlineStr">
        <is>
          <t>Ingrédients &gt; Autre</t>
        </is>
      </c>
      <c r="D38" s="8" t="inlineStr">
        <is>
          <t>FONDAT PATISSIER</t>
        </is>
      </c>
      <c r="E38" s="8" t="inlineStr"/>
      <c r="F38" s="8" t="inlineStr">
        <is>
          <t>kg</t>
        </is>
      </c>
      <c r="G38" s="8" t="inlineStr"/>
      <c r="H38" s="14" t="n"/>
      <c r="I38" s="14" t="n">
        <v>0</v>
      </c>
      <c r="J38" s="15" t="n"/>
      <c r="K38" s="16" t="n"/>
      <c r="L38" s="17">
        <f>IF(AND(J38="",K38=""),"",IF(H38="",K38,J38*H38+K38))</f>
        <v/>
      </c>
      <c r="M38" s="17">
        <f>IF(L38="","",L38-I38)</f>
        <v/>
      </c>
      <c r="N38" s="18" t="n">
        <v>10.832</v>
      </c>
      <c r="O38" s="19">
        <f>IF(L38="","",L38*N38)</f>
        <v/>
      </c>
      <c r="P38" s="19">
        <f>IF(M38="","",M38*N38)</f>
        <v/>
      </c>
      <c r="Q38" s="8" t="n"/>
      <c r="R38" s="8" t="inlineStr">
        <is>
          <t>Stock a 0</t>
        </is>
      </c>
      <c r="S38" s="9" t="n"/>
    </row>
    <row r="39">
      <c r="A39" s="8" t="n">
        <v>33</v>
      </c>
      <c r="B39" s="8" t="inlineStr">
        <is>
          <t>Matières premières</t>
        </is>
      </c>
      <c r="C39" s="8" t="inlineStr">
        <is>
          <t>Ingrédients &gt; Autre</t>
        </is>
      </c>
      <c r="D39" s="8" t="inlineStr">
        <is>
          <t>Fekkas dentelle</t>
        </is>
      </c>
      <c r="E39" s="8" t="inlineStr"/>
      <c r="F39" s="8" t="inlineStr">
        <is>
          <t>kg</t>
        </is>
      </c>
      <c r="G39" s="8" t="inlineStr"/>
      <c r="H39" s="14" t="n"/>
      <c r="I39" s="14" t="n">
        <v>0</v>
      </c>
      <c r="J39" s="15" t="n"/>
      <c r="K39" s="16" t="n"/>
      <c r="L39" s="17">
        <f>IF(AND(J39="",K39=""),"",IF(H39="",K39,J39*H39+K39))</f>
        <v/>
      </c>
      <c r="M39" s="17">
        <f>IF(L39="","",L39-I39)</f>
        <v/>
      </c>
      <c r="N39" s="18" t="n">
        <v>100</v>
      </c>
      <c r="O39" s="19">
        <f>IF(L39="","",L39*N39)</f>
        <v/>
      </c>
      <c r="P39" s="19">
        <f>IF(M39="","",M39*N39)</f>
        <v/>
      </c>
      <c r="Q39" s="8" t="n"/>
      <c r="R39" s="8" t="inlineStr">
        <is>
          <t>Stock a 0</t>
        </is>
      </c>
      <c r="S39" s="9" t="n"/>
    </row>
    <row r="40">
      <c r="A40" s="8" t="n">
        <v>34</v>
      </c>
      <c r="B40" s="8" t="inlineStr">
        <is>
          <t>Matières premières</t>
        </is>
      </c>
      <c r="C40" s="8" t="inlineStr">
        <is>
          <t>Ingrédients &gt; Autre</t>
        </is>
      </c>
      <c r="D40" s="8" t="inlineStr">
        <is>
          <t>Feuilltine</t>
        </is>
      </c>
      <c r="E40" s="8" t="inlineStr"/>
      <c r="F40" s="8" t="inlineStr">
        <is>
          <t>kg</t>
        </is>
      </c>
      <c r="G40" s="8" t="inlineStr"/>
      <c r="H40" s="14" t="n"/>
      <c r="I40" s="14" t="n">
        <v>0</v>
      </c>
      <c r="J40" s="15" t="n"/>
      <c r="K40" s="16" t="n"/>
      <c r="L40" s="17">
        <f>IF(AND(J40="",K40=""),"",IF(H40="",K40,J40*H40+K40))</f>
        <v/>
      </c>
      <c r="M40" s="17">
        <f>IF(L40="","",L40-I40)</f>
        <v/>
      </c>
      <c r="N40" s="18" t="n">
        <v>87.5</v>
      </c>
      <c r="O40" s="19">
        <f>IF(L40="","",L40*N40)</f>
        <v/>
      </c>
      <c r="P40" s="19">
        <f>IF(M40="","",M40*N40)</f>
        <v/>
      </c>
      <c r="Q40" s="8" t="n"/>
      <c r="R40" s="8" t="inlineStr">
        <is>
          <t>Stock a 0</t>
        </is>
      </c>
      <c r="S40" s="9" t="n"/>
    </row>
    <row r="41">
      <c r="A41" s="8" t="n">
        <v>35</v>
      </c>
      <c r="B41" s="8" t="inlineStr">
        <is>
          <t>Matières premières</t>
        </is>
      </c>
      <c r="C41" s="8" t="inlineStr">
        <is>
          <t>Ingrédients &gt; Autre</t>
        </is>
      </c>
      <c r="D41" s="8" t="inlineStr">
        <is>
          <t>Feutre</t>
        </is>
      </c>
      <c r="E41" s="8" t="inlineStr"/>
      <c r="F41" s="8" t="inlineStr">
        <is>
          <t>unit</t>
        </is>
      </c>
      <c r="G41" s="8" t="inlineStr"/>
      <c r="H41" s="14" t="n"/>
      <c r="I41" s="14" t="n">
        <v>0</v>
      </c>
      <c r="J41" s="15" t="n"/>
      <c r="K41" s="16" t="n"/>
      <c r="L41" s="17">
        <f>IF(AND(J41="",K41=""),"",IF(H41="",K41,J41*H41+K41))</f>
        <v/>
      </c>
      <c r="M41" s="17">
        <f>IF(L41="","",L41-I41)</f>
        <v/>
      </c>
      <c r="N41" s="18" t="n">
        <v>6</v>
      </c>
      <c r="O41" s="19">
        <f>IF(L41="","",L41*N41)</f>
        <v/>
      </c>
      <c r="P41" s="19">
        <f>IF(M41="","",M41*N41)</f>
        <v/>
      </c>
      <c r="Q41" s="8" t="n"/>
      <c r="R41" s="8" t="inlineStr">
        <is>
          <t>En stock</t>
        </is>
      </c>
      <c r="S41" s="9" t="n"/>
    </row>
    <row r="42">
      <c r="A42" s="8" t="n">
        <v>36</v>
      </c>
      <c r="B42" s="8" t="inlineStr">
        <is>
          <t>Matières premières</t>
        </is>
      </c>
      <c r="C42" s="8" t="inlineStr">
        <is>
          <t>Ingrédients &gt; Autre</t>
        </is>
      </c>
      <c r="D42" s="8" t="inlineStr">
        <is>
          <t>Filet de fillo</t>
        </is>
      </c>
      <c r="E42" s="8" t="inlineStr"/>
      <c r="F42" s="8" t="inlineStr">
        <is>
          <t>unit</t>
        </is>
      </c>
      <c r="G42" s="8" t="inlineStr"/>
      <c r="H42" s="14" t="n"/>
      <c r="I42" s="14" t="n">
        <v>0</v>
      </c>
      <c r="J42" s="15" t="n"/>
      <c r="K42" s="16" t="n"/>
      <c r="L42" s="17">
        <f>IF(AND(J42="",K42=""),"",IF(H42="",K42,J42*H42+K42))</f>
        <v/>
      </c>
      <c r="M42" s="17">
        <f>IF(L42="","",L42-I42)</f>
        <v/>
      </c>
      <c r="N42" s="18" t="n">
        <v>20</v>
      </c>
      <c r="O42" s="19">
        <f>IF(L42="","",L42*N42)</f>
        <v/>
      </c>
      <c r="P42" s="19">
        <f>IF(M42="","",M42*N42)</f>
        <v/>
      </c>
      <c r="Q42" s="8" t="n"/>
      <c r="R42" s="8" t="inlineStr">
        <is>
          <t>En stock</t>
        </is>
      </c>
      <c r="S42" s="9" t="n"/>
    </row>
    <row r="43">
      <c r="A43" s="8" t="n">
        <v>37</v>
      </c>
      <c r="B43" s="8" t="inlineStr">
        <is>
          <t>Matières premières</t>
        </is>
      </c>
      <c r="C43" s="8" t="inlineStr">
        <is>
          <t>Ingrédients &gt; Autre</t>
        </is>
      </c>
      <c r="D43" s="8" t="inlineStr">
        <is>
          <t>Fleurs</t>
        </is>
      </c>
      <c r="E43" s="8" t="inlineStr"/>
      <c r="F43" s="8" t="inlineStr">
        <is>
          <t>unit</t>
        </is>
      </c>
      <c r="G43" s="8" t="inlineStr"/>
      <c r="H43" s="14" t="n"/>
      <c r="I43" s="14" t="n">
        <v>0</v>
      </c>
      <c r="J43" s="15" t="n"/>
      <c r="K43" s="16" t="n"/>
      <c r="L43" s="17">
        <f>IF(AND(J43="",K43=""),"",IF(H43="",K43,J43*H43+K43))</f>
        <v/>
      </c>
      <c r="M43" s="17">
        <f>IF(L43="","",L43-I43)</f>
        <v/>
      </c>
      <c r="N43" s="18" t="n">
        <v>9</v>
      </c>
      <c r="O43" s="19">
        <f>IF(L43="","",L43*N43)</f>
        <v/>
      </c>
      <c r="P43" s="19">
        <f>IF(M43="","",M43*N43)</f>
        <v/>
      </c>
      <c r="Q43" s="8" t="n"/>
      <c r="R43" s="8" t="inlineStr">
        <is>
          <t>En stock</t>
        </is>
      </c>
      <c r="S43" s="9" t="n"/>
    </row>
    <row r="44">
      <c r="A44" s="8" t="n">
        <v>38</v>
      </c>
      <c r="B44" s="8" t="inlineStr">
        <is>
          <t>Matières premières</t>
        </is>
      </c>
      <c r="C44" s="8" t="inlineStr">
        <is>
          <t>Ingrédients &gt; Autre</t>
        </is>
      </c>
      <c r="D44" s="8" t="inlineStr">
        <is>
          <t>Flocons d’avoine / graines floconnées</t>
        </is>
      </c>
      <c r="E44" s="8" t="inlineStr"/>
      <c r="F44" s="8" t="inlineStr">
        <is>
          <t>g</t>
        </is>
      </c>
      <c r="G44" s="8" t="inlineStr"/>
      <c r="H44" s="14" t="n"/>
      <c r="I44" s="14" t="n">
        <v>0</v>
      </c>
      <c r="J44" s="15" t="n"/>
      <c r="K44" s="16" t="n"/>
      <c r="L44" s="17">
        <f>IF(AND(J44="",K44=""),"",IF(H44="",K44,J44*H44+K44))</f>
        <v/>
      </c>
      <c r="M44" s="17">
        <f>IF(L44="","",L44-I44)</f>
        <v/>
      </c>
      <c r="N44" s="18" t="n">
        <v>0</v>
      </c>
      <c r="O44" s="19">
        <f>IF(L44="","",L44*N44)</f>
        <v/>
      </c>
      <c r="P44" s="19">
        <f>IF(M44="","",M44*N44)</f>
        <v/>
      </c>
      <c r="Q44" s="8" t="n"/>
      <c r="R44" s="8" t="inlineStr">
        <is>
          <t>Jamais recu</t>
        </is>
      </c>
      <c r="S44" s="9" t="n"/>
    </row>
    <row r="45">
      <c r="A45" s="8" t="n">
        <v>39</v>
      </c>
      <c r="B45" s="8" t="inlineStr">
        <is>
          <t>Matières premières</t>
        </is>
      </c>
      <c r="C45" s="8" t="inlineStr">
        <is>
          <t>Ingrédients &gt; Autre</t>
        </is>
      </c>
      <c r="D45" s="8" t="inlineStr">
        <is>
          <t>Fromage carée</t>
        </is>
      </c>
      <c r="E45" s="8" t="inlineStr"/>
      <c r="F45" s="8" t="inlineStr">
        <is>
          <t>unit</t>
        </is>
      </c>
      <c r="G45" s="8" t="inlineStr"/>
      <c r="H45" s="14" t="n"/>
      <c r="I45" s="14" t="n">
        <v>0</v>
      </c>
      <c r="J45" s="15" t="n"/>
      <c r="K45" s="16" t="n"/>
      <c r="L45" s="17">
        <f>IF(AND(J45="",K45=""),"",IF(H45="",K45,J45*H45+K45))</f>
        <v/>
      </c>
      <c r="M45" s="17">
        <f>IF(L45="","",L45-I45)</f>
        <v/>
      </c>
      <c r="N45" s="18" t="n">
        <v>15.3</v>
      </c>
      <c r="O45" s="19">
        <f>IF(L45="","",L45*N45)</f>
        <v/>
      </c>
      <c r="P45" s="19">
        <f>IF(M45="","",M45*N45)</f>
        <v/>
      </c>
      <c r="Q45" s="8" t="n"/>
      <c r="R45" s="8" t="inlineStr">
        <is>
          <t>En stock</t>
        </is>
      </c>
      <c r="S45" s="9" t="n"/>
    </row>
    <row r="46">
      <c r="A46" s="8" t="n">
        <v>40</v>
      </c>
      <c r="B46" s="8" t="inlineStr">
        <is>
          <t>Matières premières</t>
        </is>
      </c>
      <c r="C46" s="8" t="inlineStr">
        <is>
          <t>Ingrédients &gt; Autre</t>
        </is>
      </c>
      <c r="D46" s="8" t="inlineStr">
        <is>
          <t>GINGEMBRE</t>
        </is>
      </c>
      <c r="E46" s="8" t="inlineStr"/>
      <c r="F46" s="8" t="inlineStr">
        <is>
          <t>g</t>
        </is>
      </c>
      <c r="G46" s="8" t="inlineStr"/>
      <c r="H46" s="14" t="n"/>
      <c r="I46" s="14" t="n">
        <v>0</v>
      </c>
      <c r="J46" s="15" t="n"/>
      <c r="K46" s="16" t="n"/>
      <c r="L46" s="17">
        <f>IF(AND(J46="",K46=""),"",IF(H46="",K46,J46*H46+K46))</f>
        <v/>
      </c>
      <c r="M46" s="17">
        <f>IF(L46="","",L46-I46)</f>
        <v/>
      </c>
      <c r="N46" s="18" t="n">
        <v>0.07199999999999999</v>
      </c>
      <c r="O46" s="19">
        <f>IF(L46="","",L46*N46)</f>
        <v/>
      </c>
      <c r="P46" s="19">
        <f>IF(M46="","",M46*N46)</f>
        <v/>
      </c>
      <c r="Q46" s="8" t="n"/>
      <c r="R46" s="8" t="inlineStr">
        <is>
          <t>En stock</t>
        </is>
      </c>
      <c r="S46" s="9" t="n"/>
    </row>
    <row r="47">
      <c r="A47" s="8" t="n">
        <v>41</v>
      </c>
      <c r="B47" s="8" t="inlineStr">
        <is>
          <t>Matières premières</t>
        </is>
      </c>
      <c r="C47" s="8" t="inlineStr">
        <is>
          <t>Ingrédients &gt; Autre</t>
        </is>
      </c>
      <c r="D47" s="8" t="inlineStr">
        <is>
          <t>GLAÇAGE CARAMÈL</t>
        </is>
      </c>
      <c r="E47" s="8" t="inlineStr"/>
      <c r="F47" s="8" t="inlineStr">
        <is>
          <t>kg</t>
        </is>
      </c>
      <c r="G47" s="8" t="inlineStr"/>
      <c r="H47" s="14" t="n"/>
      <c r="I47" s="14" t="n">
        <v>0</v>
      </c>
      <c r="J47" s="15" t="n"/>
      <c r="K47" s="16" t="n"/>
      <c r="L47" s="17">
        <f>IF(AND(J47="",K47=""),"",IF(H47="",K47,J47*H47+K47))</f>
        <v/>
      </c>
      <c r="M47" s="17">
        <f>IF(L47="","",L47-I47)</f>
        <v/>
      </c>
      <c r="N47" s="18" t="n">
        <v>28.75</v>
      </c>
      <c r="O47" s="19">
        <f>IF(L47="","",L47*N47)</f>
        <v/>
      </c>
      <c r="P47" s="19">
        <f>IF(M47="","",M47*N47)</f>
        <v/>
      </c>
      <c r="Q47" s="8" t="n"/>
      <c r="R47" s="8" t="inlineStr">
        <is>
          <t>En stock</t>
        </is>
      </c>
      <c r="S47" s="9" t="n"/>
    </row>
    <row r="48">
      <c r="A48" s="8" t="n">
        <v>42</v>
      </c>
      <c r="B48" s="8" t="inlineStr">
        <is>
          <t>Matières premières</t>
        </is>
      </c>
      <c r="C48" s="8" t="inlineStr">
        <is>
          <t>Ingrédients &gt; Autre</t>
        </is>
      </c>
      <c r="D48" s="8" t="inlineStr">
        <is>
          <t>GLAÇAGE CHOCOLAT</t>
        </is>
      </c>
      <c r="E48" s="8" t="inlineStr"/>
      <c r="F48" s="8" t="inlineStr">
        <is>
          <t>kg</t>
        </is>
      </c>
      <c r="G48" s="8" t="inlineStr"/>
      <c r="H48" s="14" t="n"/>
      <c r="I48" s="14" t="n">
        <v>0</v>
      </c>
      <c r="J48" s="15" t="n"/>
      <c r="K48" s="16" t="n"/>
      <c r="L48" s="17">
        <f>IF(AND(J48="",K48=""),"",IF(H48="",K48,J48*H48+K48))</f>
        <v/>
      </c>
      <c r="M48" s="17">
        <f>IF(L48="","",L48-I48)</f>
        <v/>
      </c>
      <c r="N48" s="18" t="n">
        <v>28.75</v>
      </c>
      <c r="O48" s="19">
        <f>IF(L48="","",L48*N48)</f>
        <v/>
      </c>
      <c r="P48" s="19">
        <f>IF(M48="","",M48*N48)</f>
        <v/>
      </c>
      <c r="Q48" s="8" t="n"/>
      <c r="R48" s="8" t="inlineStr">
        <is>
          <t>En stock</t>
        </is>
      </c>
      <c r="S48" s="9" t="n"/>
    </row>
    <row r="49">
      <c r="A49" s="8" t="n">
        <v>43</v>
      </c>
      <c r="B49" s="8" t="inlineStr">
        <is>
          <t>Matières premières</t>
        </is>
      </c>
      <c r="C49" s="8" t="inlineStr">
        <is>
          <t>Ingrédients &gt; Autre</t>
        </is>
      </c>
      <c r="D49" s="8" t="inlineStr">
        <is>
          <t>GLAÇAGE FRAMBOISE</t>
        </is>
      </c>
      <c r="E49" s="8" t="inlineStr"/>
      <c r="F49" s="8" t="inlineStr">
        <is>
          <t>kg</t>
        </is>
      </c>
      <c r="G49" s="8" t="inlineStr"/>
      <c r="H49" s="14" t="n"/>
      <c r="I49" s="14" t="n">
        <v>0</v>
      </c>
      <c r="J49" s="15" t="n"/>
      <c r="K49" s="16" t="n"/>
      <c r="L49" s="17">
        <f>IF(AND(J49="",K49=""),"",IF(H49="",K49,J49*H49+K49))</f>
        <v/>
      </c>
      <c r="M49" s="17">
        <f>IF(L49="","",L49-I49)</f>
        <v/>
      </c>
      <c r="N49" s="18" t="n">
        <v>28.75</v>
      </c>
      <c r="O49" s="19">
        <f>IF(L49="","",L49*N49)</f>
        <v/>
      </c>
      <c r="P49" s="19">
        <f>IF(M49="","",M49*N49)</f>
        <v/>
      </c>
      <c r="Q49" s="8" t="n"/>
      <c r="R49" s="8" t="inlineStr">
        <is>
          <t>En stock</t>
        </is>
      </c>
      <c r="S49" s="9" t="n"/>
    </row>
    <row r="50">
      <c r="A50" s="8" t="n">
        <v>44</v>
      </c>
      <c r="B50" s="8" t="inlineStr">
        <is>
          <t>Matières premières</t>
        </is>
      </c>
      <c r="C50" s="8" t="inlineStr">
        <is>
          <t>Ingrédients &gt; Autre</t>
        </is>
      </c>
      <c r="D50" s="8" t="inlineStr">
        <is>
          <t>GOAL</t>
        </is>
      </c>
      <c r="E50" s="8" t="inlineStr"/>
      <c r="F50" s="8" t="inlineStr">
        <is>
          <t>kg</t>
        </is>
      </c>
      <c r="G50" s="8" t="inlineStr"/>
      <c r="H50" s="14" t="n"/>
      <c r="I50" s="14" t="n">
        <v>0</v>
      </c>
      <c r="J50" s="15" t="n"/>
      <c r="K50" s="16" t="n"/>
      <c r="L50" s="17">
        <f>IF(AND(J50="",K50=""),"",IF(H50="",K50,J50*H50+K50))</f>
        <v/>
      </c>
      <c r="M50" s="17">
        <f>IF(L50="","",L50-I50)</f>
        <v/>
      </c>
      <c r="N50" s="18" t="n">
        <v>17.5</v>
      </c>
      <c r="O50" s="19">
        <f>IF(L50="","",L50*N50)</f>
        <v/>
      </c>
      <c r="P50" s="19">
        <f>IF(M50="","",M50*N50)</f>
        <v/>
      </c>
      <c r="Q50" s="8" t="n"/>
      <c r="R50" s="8" t="inlineStr">
        <is>
          <t>Stock a 0</t>
        </is>
      </c>
      <c r="S50" s="9" t="n"/>
    </row>
    <row r="51">
      <c r="A51" s="8" t="n">
        <v>45</v>
      </c>
      <c r="B51" s="8" t="inlineStr">
        <is>
          <t>Matières premières</t>
        </is>
      </c>
      <c r="C51" s="8" t="inlineStr">
        <is>
          <t>Ingrédients &gt; Autre</t>
        </is>
      </c>
      <c r="D51" s="8" t="inlineStr">
        <is>
          <t>Gelatine en feuille</t>
        </is>
      </c>
      <c r="E51" s="8" t="inlineStr"/>
      <c r="F51" s="8" t="inlineStr">
        <is>
          <t>kg</t>
        </is>
      </c>
      <c r="G51" s="8" t="inlineStr"/>
      <c r="H51" s="14" t="n"/>
      <c r="I51" s="14" t="n">
        <v>0</v>
      </c>
      <c r="J51" s="15" t="n"/>
      <c r="K51" s="16" t="n"/>
      <c r="L51" s="17">
        <f>IF(AND(J51="",K51=""),"",IF(H51="",K51,J51*H51+K51))</f>
        <v/>
      </c>
      <c r="M51" s="17">
        <f>IF(L51="","",L51-I51)</f>
        <v/>
      </c>
      <c r="N51" s="18" t="n">
        <v>266.67</v>
      </c>
      <c r="O51" s="19">
        <f>IF(L51="","",L51*N51)</f>
        <v/>
      </c>
      <c r="P51" s="19">
        <f>IF(M51="","",M51*N51)</f>
        <v/>
      </c>
      <c r="Q51" s="8" t="n"/>
      <c r="R51" s="8" t="inlineStr">
        <is>
          <t>En stock</t>
        </is>
      </c>
      <c r="S51" s="9" t="n"/>
    </row>
    <row r="52">
      <c r="A52" s="8" t="n">
        <v>46</v>
      </c>
      <c r="B52" s="8" t="inlineStr">
        <is>
          <t>Matières premières</t>
        </is>
      </c>
      <c r="C52" s="8" t="inlineStr">
        <is>
          <t>Ingrédients &gt; Autre</t>
        </is>
      </c>
      <c r="D52" s="8" t="inlineStr">
        <is>
          <t>Graines de lin</t>
        </is>
      </c>
      <c r="E52" s="8" t="inlineStr"/>
      <c r="F52" s="8" t="inlineStr">
        <is>
          <t>unit</t>
        </is>
      </c>
      <c r="G52" s="8" t="inlineStr"/>
      <c r="H52" s="14" t="n"/>
      <c r="I52" s="14" t="n">
        <v>0</v>
      </c>
      <c r="J52" s="15" t="n"/>
      <c r="K52" s="16" t="n"/>
      <c r="L52" s="17">
        <f>IF(AND(J52="",K52=""),"",IF(H52="",K52,J52*H52+K52))</f>
        <v/>
      </c>
      <c r="M52" s="17">
        <f>IF(L52="","",L52-I52)</f>
        <v/>
      </c>
      <c r="N52" s="18" t="n">
        <v>0.07199999999999999</v>
      </c>
      <c r="O52" s="19">
        <f>IF(L52="","",L52*N52)</f>
        <v/>
      </c>
      <c r="P52" s="19">
        <f>IF(M52="","",M52*N52)</f>
        <v/>
      </c>
      <c r="Q52" s="8" t="n"/>
      <c r="R52" s="8" t="inlineStr">
        <is>
          <t>En stock</t>
        </is>
      </c>
      <c r="S52" s="9" t="n"/>
    </row>
    <row r="53">
      <c r="A53" s="8" t="n">
        <v>47</v>
      </c>
      <c r="B53" s="8" t="inlineStr">
        <is>
          <t>Matières premières</t>
        </is>
      </c>
      <c r="C53" s="8" t="inlineStr">
        <is>
          <t>Ingrédients &gt; Autre</t>
        </is>
      </c>
      <c r="D53" s="8" t="inlineStr">
        <is>
          <t>Graines de lin</t>
        </is>
      </c>
      <c r="E53" s="8" t="inlineStr"/>
      <c r="F53" s="8" t="inlineStr">
        <is>
          <t>kg</t>
        </is>
      </c>
      <c r="G53" s="8" t="inlineStr"/>
      <c r="H53" s="14" t="n"/>
      <c r="I53" s="14" t="n">
        <v>0</v>
      </c>
      <c r="J53" s="15" t="n"/>
      <c r="K53" s="16" t="n"/>
      <c r="L53" s="17">
        <f>IF(AND(J53="",K53=""),"",IF(H53="",K53,J53*H53+K53))</f>
        <v/>
      </c>
      <c r="M53" s="17">
        <f>IF(L53="","",L53-I53)</f>
        <v/>
      </c>
      <c r="N53" s="18" t="n">
        <v>13</v>
      </c>
      <c r="O53" s="19">
        <f>IF(L53="","",L53*N53)</f>
        <v/>
      </c>
      <c r="P53" s="19">
        <f>IF(M53="","",M53*N53)</f>
        <v/>
      </c>
      <c r="Q53" s="8" t="n"/>
      <c r="R53" s="8" t="inlineStr">
        <is>
          <t>Stock a 0</t>
        </is>
      </c>
      <c r="S53" s="9" t="n"/>
    </row>
    <row r="54">
      <c r="A54" s="8" t="n">
        <v>48</v>
      </c>
      <c r="B54" s="8" t="inlineStr">
        <is>
          <t>Matières premières</t>
        </is>
      </c>
      <c r="C54" s="8" t="inlineStr">
        <is>
          <t>Ingrédients &gt; Autre</t>
        </is>
      </c>
      <c r="D54" s="8" t="inlineStr">
        <is>
          <t>Grille en plastique</t>
        </is>
      </c>
      <c r="E54" s="8" t="inlineStr"/>
      <c r="F54" s="8" t="inlineStr">
        <is>
          <t>unit</t>
        </is>
      </c>
      <c r="G54" s="8" t="inlineStr"/>
      <c r="H54" s="14" t="n"/>
      <c r="I54" s="14" t="n">
        <v>0</v>
      </c>
      <c r="J54" s="15" t="n"/>
      <c r="K54" s="16" t="n"/>
      <c r="L54" s="17">
        <f>IF(AND(J54="",K54=""),"",IF(H54="",K54,J54*H54+K54))</f>
        <v/>
      </c>
      <c r="M54" s="17">
        <f>IF(L54="","",L54-I54)</f>
        <v/>
      </c>
      <c r="N54" s="18" t="n">
        <v>100</v>
      </c>
      <c r="O54" s="19">
        <f>IF(L54="","",L54*N54)</f>
        <v/>
      </c>
      <c r="P54" s="19">
        <f>IF(M54="","",M54*N54)</f>
        <v/>
      </c>
      <c r="Q54" s="8" t="n"/>
      <c r="R54" s="8" t="inlineStr">
        <is>
          <t>En stock</t>
        </is>
      </c>
      <c r="S54" s="9" t="n"/>
    </row>
    <row r="55">
      <c r="A55" s="8" t="n">
        <v>49</v>
      </c>
      <c r="B55" s="8" t="inlineStr">
        <is>
          <t>Matières premières</t>
        </is>
      </c>
      <c r="C55" s="8" t="inlineStr">
        <is>
          <t>Ingrédients &gt; Autre</t>
        </is>
      </c>
      <c r="D55" s="8" t="inlineStr">
        <is>
          <t>Lait de coco</t>
        </is>
      </c>
      <c r="E55" s="8" t="inlineStr"/>
      <c r="F55" s="8" t="inlineStr">
        <is>
          <t>ml</t>
        </is>
      </c>
      <c r="G55" s="8" t="inlineStr"/>
      <c r="H55" s="14" t="n"/>
      <c r="I55" s="14" t="n">
        <v>0</v>
      </c>
      <c r="J55" s="15" t="n"/>
      <c r="K55" s="16" t="n"/>
      <c r="L55" s="17">
        <f>IF(AND(J55="",K55=""),"",IF(H55="",K55,J55*H55+K55))</f>
        <v/>
      </c>
      <c r="M55" s="17">
        <f>IF(L55="","",L55-I55)</f>
        <v/>
      </c>
      <c r="N55" s="18" t="n">
        <v>0</v>
      </c>
      <c r="O55" s="19">
        <f>IF(L55="","",L55*N55)</f>
        <v/>
      </c>
      <c r="P55" s="19">
        <f>IF(M55="","",M55*N55)</f>
        <v/>
      </c>
      <c r="Q55" s="8" t="n"/>
      <c r="R55" s="8" t="inlineStr">
        <is>
          <t>Jamais recu</t>
        </is>
      </c>
      <c r="S55" s="9" t="n"/>
    </row>
    <row r="56">
      <c r="A56" s="8" t="n">
        <v>50</v>
      </c>
      <c r="B56" s="8" t="inlineStr">
        <is>
          <t>Matières premières</t>
        </is>
      </c>
      <c r="C56" s="8" t="inlineStr">
        <is>
          <t>Ingrédients &gt; Autre</t>
        </is>
      </c>
      <c r="D56" s="8" t="inlineStr">
        <is>
          <t>Laitue</t>
        </is>
      </c>
      <c r="E56" s="8" t="inlineStr"/>
      <c r="F56" s="8" t="inlineStr">
        <is>
          <t>unit</t>
        </is>
      </c>
      <c r="G56" s="8" t="inlineStr"/>
      <c r="H56" s="14" t="n"/>
      <c r="I56" s="14" t="n">
        <v>0</v>
      </c>
      <c r="J56" s="15" t="n"/>
      <c r="K56" s="16" t="n"/>
      <c r="L56" s="17">
        <f>IF(AND(J56="",K56=""),"",IF(H56="",K56,J56*H56+K56))</f>
        <v/>
      </c>
      <c r="M56" s="17">
        <f>IF(L56="","",L56-I56)</f>
        <v/>
      </c>
      <c r="N56" s="18" t="n">
        <v>6</v>
      </c>
      <c r="O56" s="19">
        <f>IF(L56="","",L56*N56)</f>
        <v/>
      </c>
      <c r="P56" s="19">
        <f>IF(M56="","",M56*N56)</f>
        <v/>
      </c>
      <c r="Q56" s="8" t="n"/>
      <c r="R56" s="8" t="inlineStr">
        <is>
          <t>En stock</t>
        </is>
      </c>
      <c r="S56" s="9" t="n"/>
    </row>
    <row r="57">
      <c r="A57" s="8" t="n">
        <v>51</v>
      </c>
      <c r="B57" s="8" t="inlineStr">
        <is>
          <t>Matières premières</t>
        </is>
      </c>
      <c r="C57" s="8" t="inlineStr">
        <is>
          <t>Ingrédients &gt; Autre</t>
        </is>
      </c>
      <c r="D57" s="8" t="inlineStr">
        <is>
          <t>Les enveloppes</t>
        </is>
      </c>
      <c r="E57" s="8" t="inlineStr"/>
      <c r="F57" s="8" t="inlineStr">
        <is>
          <t>unit</t>
        </is>
      </c>
      <c r="G57" s="8" t="inlineStr"/>
      <c r="H57" s="14" t="n"/>
      <c r="I57" s="14" t="n">
        <v>0</v>
      </c>
      <c r="J57" s="15" t="n"/>
      <c r="K57" s="16" t="n"/>
      <c r="L57" s="17">
        <f>IF(AND(J57="",K57=""),"",IF(H57="",K57,J57*H57+K57))</f>
        <v/>
      </c>
      <c r="M57" s="17">
        <f>IF(L57="","",L57-I57)</f>
        <v/>
      </c>
      <c r="N57" s="18" t="n">
        <v>25</v>
      </c>
      <c r="O57" s="19">
        <f>IF(L57="","",L57*N57)</f>
        <v/>
      </c>
      <c r="P57" s="19">
        <f>IF(M57="","",M57*N57)</f>
        <v/>
      </c>
      <c r="Q57" s="8" t="n"/>
      <c r="R57" s="8" t="inlineStr">
        <is>
          <t>En stock</t>
        </is>
      </c>
      <c r="S57" s="9" t="n"/>
    </row>
    <row r="58">
      <c r="A58" s="8" t="n">
        <v>52</v>
      </c>
      <c r="B58" s="8" t="inlineStr">
        <is>
          <t>Matières premières</t>
        </is>
      </c>
      <c r="C58" s="8" t="inlineStr">
        <is>
          <t>Ingrédients &gt; Autre</t>
        </is>
      </c>
      <c r="D58" s="8" t="inlineStr">
        <is>
          <t>Mais concassé</t>
        </is>
      </c>
      <c r="E58" s="8" t="inlineStr"/>
      <c r="F58" s="8" t="inlineStr">
        <is>
          <t>kg</t>
        </is>
      </c>
      <c r="G58" s="8" t="inlineStr"/>
      <c r="H58" s="14" t="n"/>
      <c r="I58" s="14" t="n">
        <v>0</v>
      </c>
      <c r="J58" s="15" t="n"/>
      <c r="K58" s="16" t="n"/>
      <c r="L58" s="17">
        <f>IF(AND(J58="",K58=""),"",IF(H58="",K58,J58*H58+K58))</f>
        <v/>
      </c>
      <c r="M58" s="17">
        <f>IF(L58="","",L58-I58)</f>
        <v/>
      </c>
      <c r="N58" s="18" t="n">
        <v>7</v>
      </c>
      <c r="O58" s="19">
        <f>IF(L58="","",L58*N58)</f>
        <v/>
      </c>
      <c r="P58" s="19">
        <f>IF(M58="","",M58*N58)</f>
        <v/>
      </c>
      <c r="Q58" s="8" t="n"/>
      <c r="R58" s="8" t="inlineStr">
        <is>
          <t>Jamais recu</t>
        </is>
      </c>
      <c r="S58" s="9" t="n"/>
    </row>
    <row r="59">
      <c r="A59" s="8" t="n">
        <v>53</v>
      </c>
      <c r="B59" s="8" t="inlineStr">
        <is>
          <t>Matières premières</t>
        </is>
      </c>
      <c r="C59" s="8" t="inlineStr">
        <is>
          <t>Ingrédients &gt; Autre</t>
        </is>
      </c>
      <c r="D59" s="8" t="inlineStr">
        <is>
          <t>Margarine atlas</t>
        </is>
      </c>
      <c r="E59" s="8" t="inlineStr"/>
      <c r="F59" s="8" t="inlineStr">
        <is>
          <t>unit</t>
        </is>
      </c>
      <c r="G59" s="8" t="inlineStr"/>
      <c r="H59" s="14" t="n"/>
      <c r="I59" s="14" t="n">
        <v>0</v>
      </c>
      <c r="J59" s="15" t="n"/>
      <c r="K59" s="16" t="n"/>
      <c r="L59" s="17">
        <f>IF(AND(J59="",K59=""),"",IF(H59="",K59,J59*H59+K59))</f>
        <v/>
      </c>
      <c r="M59" s="17">
        <f>IF(L59="","",L59-I59)</f>
        <v/>
      </c>
      <c r="N59" s="18" t="n">
        <v>67.5</v>
      </c>
      <c r="O59" s="19">
        <f>IF(L59="","",L59*N59)</f>
        <v/>
      </c>
      <c r="P59" s="19">
        <f>IF(M59="","",M59*N59)</f>
        <v/>
      </c>
      <c r="Q59" s="8" t="n"/>
      <c r="R59" s="8" t="inlineStr">
        <is>
          <t>En stock</t>
        </is>
      </c>
      <c r="S59" s="9" t="n"/>
    </row>
    <row r="60">
      <c r="A60" s="8" t="n">
        <v>54</v>
      </c>
      <c r="B60" s="8" t="inlineStr">
        <is>
          <t>Matières premières</t>
        </is>
      </c>
      <c r="C60" s="8" t="inlineStr">
        <is>
          <t>Ingrédients &gt; Autre</t>
        </is>
      </c>
      <c r="D60" s="8" t="inlineStr">
        <is>
          <t>Matériel frigorifique</t>
        </is>
      </c>
      <c r="E60" s="8" t="inlineStr"/>
      <c r="F60" s="8" t="inlineStr">
        <is>
          <t>unit</t>
        </is>
      </c>
      <c r="G60" s="8" t="inlineStr"/>
      <c r="H60" s="14" t="n"/>
      <c r="I60" s="14" t="n">
        <v>0</v>
      </c>
      <c r="J60" s="15" t="n"/>
      <c r="K60" s="16" t="n"/>
      <c r="L60" s="17">
        <f>IF(AND(J60="",K60=""),"",IF(H60="",K60,J60*H60+K60))</f>
        <v/>
      </c>
      <c r="M60" s="17">
        <f>IF(L60="","",L60-I60)</f>
        <v/>
      </c>
      <c r="N60" s="18" t="n">
        <v>47</v>
      </c>
      <c r="O60" s="19">
        <f>IF(L60="","",L60*N60)</f>
        <v/>
      </c>
      <c r="P60" s="19">
        <f>IF(M60="","",M60*N60)</f>
        <v/>
      </c>
      <c r="Q60" s="8" t="n"/>
      <c r="R60" s="8" t="inlineStr">
        <is>
          <t>Stock a 0</t>
        </is>
      </c>
      <c r="S60" s="9" t="n"/>
    </row>
    <row r="61">
      <c r="A61" s="8" t="n">
        <v>55</v>
      </c>
      <c r="B61" s="8" t="inlineStr">
        <is>
          <t>Matières premières</t>
        </is>
      </c>
      <c r="C61" s="8" t="inlineStr">
        <is>
          <t>Ingrédients &gt; Autre</t>
        </is>
      </c>
      <c r="D61" s="8" t="inlineStr">
        <is>
          <t>Moutarde top chef</t>
        </is>
      </c>
      <c r="E61" s="8" t="inlineStr"/>
      <c r="F61" s="8" t="inlineStr">
        <is>
          <t>unit</t>
        </is>
      </c>
      <c r="G61" s="8" t="inlineStr"/>
      <c r="H61" s="14" t="n"/>
      <c r="I61" s="14" t="n">
        <v>0</v>
      </c>
      <c r="J61" s="15" t="n"/>
      <c r="K61" s="16" t="n"/>
      <c r="L61" s="17">
        <f>IF(AND(J61="",K61=""),"",IF(H61="",K61,J61*H61+K61))</f>
        <v/>
      </c>
      <c r="M61" s="17">
        <f>IF(L61="","",L61-I61)</f>
        <v/>
      </c>
      <c r="N61" s="18" t="n">
        <v>16</v>
      </c>
      <c r="O61" s="19">
        <f>IF(L61="","",L61*N61)</f>
        <v/>
      </c>
      <c r="P61" s="19">
        <f>IF(M61="","",M61*N61)</f>
        <v/>
      </c>
      <c r="Q61" s="8" t="n"/>
      <c r="R61" s="8" t="inlineStr">
        <is>
          <t>En stock</t>
        </is>
      </c>
      <c r="S61" s="9" t="n"/>
    </row>
    <row r="62">
      <c r="A62" s="8" t="n">
        <v>56</v>
      </c>
      <c r="B62" s="8" t="inlineStr">
        <is>
          <t>Matières premières</t>
        </is>
      </c>
      <c r="C62" s="8" t="inlineStr">
        <is>
          <t>Ingrédients &gt; Autre</t>
        </is>
      </c>
      <c r="D62" s="8" t="inlineStr">
        <is>
          <t>NOISETTE EN GRAINS</t>
        </is>
      </c>
      <c r="E62" s="8" t="inlineStr"/>
      <c r="F62" s="8" t="inlineStr">
        <is>
          <t>kg</t>
        </is>
      </c>
      <c r="G62" s="8" t="inlineStr"/>
      <c r="H62" s="14" t="n"/>
      <c r="I62" s="14" t="n">
        <v>0</v>
      </c>
      <c r="J62" s="15" t="n"/>
      <c r="K62" s="16" t="n"/>
      <c r="L62" s="17">
        <f>IF(AND(J62="",K62=""),"",IF(H62="",K62,J62*H62+K62))</f>
        <v/>
      </c>
      <c r="M62" s="17">
        <f>IF(L62="","",L62-I62)</f>
        <v/>
      </c>
      <c r="N62" s="18" t="n">
        <v>180</v>
      </c>
      <c r="O62" s="19">
        <f>IF(L62="","",L62*N62)</f>
        <v/>
      </c>
      <c r="P62" s="19">
        <f>IF(M62="","",M62*N62)</f>
        <v/>
      </c>
      <c r="Q62" s="8" t="n"/>
      <c r="R62" s="8" t="inlineStr">
        <is>
          <t>En stock</t>
        </is>
      </c>
      <c r="S62" s="9" t="n"/>
    </row>
    <row r="63">
      <c r="A63" s="8" t="n">
        <v>57</v>
      </c>
      <c r="B63" s="8" t="inlineStr">
        <is>
          <t>Matières premières</t>
        </is>
      </c>
      <c r="C63" s="8" t="inlineStr">
        <is>
          <t>Ingrédients &gt; Autre</t>
        </is>
      </c>
      <c r="D63" s="8" t="inlineStr">
        <is>
          <t>Nido</t>
        </is>
      </c>
      <c r="E63" s="8" t="inlineStr"/>
      <c r="F63" s="8" t="inlineStr">
        <is>
          <t>unit</t>
        </is>
      </c>
      <c r="G63" s="8" t="inlineStr"/>
      <c r="H63" s="14" t="n"/>
      <c r="I63" s="14" t="n">
        <v>0</v>
      </c>
      <c r="J63" s="15" t="n"/>
      <c r="K63" s="16" t="n"/>
      <c r="L63" s="17">
        <f>IF(AND(J63="",K63=""),"",IF(H63="",K63,J63*H63+K63))</f>
        <v/>
      </c>
      <c r="M63" s="17">
        <f>IF(L63="","",L63-I63)</f>
        <v/>
      </c>
      <c r="N63" s="18" t="n">
        <v>30</v>
      </c>
      <c r="O63" s="19">
        <f>IF(L63="","",L63*N63)</f>
        <v/>
      </c>
      <c r="P63" s="19">
        <f>IF(M63="","",M63*N63)</f>
        <v/>
      </c>
      <c r="Q63" s="8" t="n"/>
      <c r="R63" s="8" t="inlineStr">
        <is>
          <t>En stock</t>
        </is>
      </c>
      <c r="S63" s="9" t="n"/>
    </row>
    <row r="64">
      <c r="A64" s="8" t="n">
        <v>58</v>
      </c>
      <c r="B64" s="8" t="inlineStr">
        <is>
          <t>Matières premières</t>
        </is>
      </c>
      <c r="C64" s="8" t="inlineStr">
        <is>
          <t>Ingrédients &gt; Autre</t>
        </is>
      </c>
      <c r="D64" s="8" t="inlineStr">
        <is>
          <t>Nigelle</t>
        </is>
      </c>
      <c r="E64" s="8" t="inlineStr"/>
      <c r="F64" s="8" t="inlineStr">
        <is>
          <t>g</t>
        </is>
      </c>
      <c r="G64" s="8" t="inlineStr"/>
      <c r="H64" s="14" t="n"/>
      <c r="I64" s="14" t="n">
        <v>0</v>
      </c>
      <c r="J64" s="15" t="n"/>
      <c r="K64" s="16" t="n"/>
      <c r="L64" s="17">
        <f>IF(AND(J64="",K64=""),"",IF(H64="",K64,J64*H64+K64))</f>
        <v/>
      </c>
      <c r="M64" s="17">
        <f>IF(L64="","",L64-I64)</f>
        <v/>
      </c>
      <c r="N64" s="18" t="n">
        <v>0.08</v>
      </c>
      <c r="O64" s="19">
        <f>IF(L64="","",L64*N64)</f>
        <v/>
      </c>
      <c r="P64" s="19">
        <f>IF(M64="","",M64*N64)</f>
        <v/>
      </c>
      <c r="Q64" s="8" t="n"/>
      <c r="R64" s="8" t="inlineStr">
        <is>
          <t>En stock</t>
        </is>
      </c>
      <c r="S64" s="9" t="n"/>
    </row>
    <row r="65">
      <c r="A65" s="8" t="n">
        <v>59</v>
      </c>
      <c r="B65" s="8" t="inlineStr">
        <is>
          <t>Matières premières</t>
        </is>
      </c>
      <c r="C65" s="8" t="inlineStr">
        <is>
          <t>Ingrédients &gt; Autre</t>
        </is>
      </c>
      <c r="D65" s="8" t="inlineStr">
        <is>
          <t>Noix décortiquées</t>
        </is>
      </c>
      <c r="E65" s="8" t="inlineStr"/>
      <c r="F65" s="8" t="inlineStr">
        <is>
          <t>g</t>
        </is>
      </c>
      <c r="G65" s="8" t="inlineStr"/>
      <c r="H65" s="14" t="n"/>
      <c r="I65" s="14" t="n">
        <v>0</v>
      </c>
      <c r="J65" s="15" t="n"/>
      <c r="K65" s="16" t="n"/>
      <c r="L65" s="17">
        <f>IF(AND(J65="",K65=""),"",IF(H65="",K65,J65*H65+K65))</f>
        <v/>
      </c>
      <c r="M65" s="17">
        <f>IF(L65="","",L65-I65)</f>
        <v/>
      </c>
      <c r="N65" s="18" t="n">
        <v>0.1</v>
      </c>
      <c r="O65" s="19">
        <f>IF(L65="","",L65*N65)</f>
        <v/>
      </c>
      <c r="P65" s="19">
        <f>IF(M65="","",M65*N65)</f>
        <v/>
      </c>
      <c r="Q65" s="8" t="n"/>
      <c r="R65" s="8" t="inlineStr">
        <is>
          <t>Stock a 0</t>
        </is>
      </c>
      <c r="S65" s="9" t="n"/>
    </row>
    <row r="66">
      <c r="A66" s="8" t="n">
        <v>60</v>
      </c>
      <c r="B66" s="8" t="inlineStr">
        <is>
          <t>Matières premières</t>
        </is>
      </c>
      <c r="C66" s="8" t="inlineStr">
        <is>
          <t>Ingrédients &gt; Autre</t>
        </is>
      </c>
      <c r="D66" s="8" t="inlineStr">
        <is>
          <t>OIGNON EN POUDRE</t>
        </is>
      </c>
      <c r="E66" s="8" t="inlineStr"/>
      <c r="F66" s="8" t="inlineStr">
        <is>
          <t>g</t>
        </is>
      </c>
      <c r="G66" s="8" t="inlineStr"/>
      <c r="H66" s="14" t="n"/>
      <c r="I66" s="14" t="n">
        <v>0</v>
      </c>
      <c r="J66" s="15" t="n"/>
      <c r="K66" s="16" t="n"/>
      <c r="L66" s="17">
        <f>IF(AND(J66="",K66=""),"",IF(H66="",K66,J66*H66+K66))</f>
        <v/>
      </c>
      <c r="M66" s="17">
        <f>IF(L66="","",L66-I66)</f>
        <v/>
      </c>
      <c r="N66" s="18" t="n">
        <v>0.04</v>
      </c>
      <c r="O66" s="19">
        <f>IF(L66="","",L66*N66)</f>
        <v/>
      </c>
      <c r="P66" s="19">
        <f>IF(M66="","",M66*N66)</f>
        <v/>
      </c>
      <c r="Q66" s="8" t="n"/>
      <c r="R66" s="8" t="inlineStr">
        <is>
          <t>En stock</t>
        </is>
      </c>
      <c r="S66" s="9" t="n"/>
    </row>
    <row r="67">
      <c r="A67" s="8" t="n">
        <v>61</v>
      </c>
      <c r="B67" s="8" t="inlineStr">
        <is>
          <t>Matières premières</t>
        </is>
      </c>
      <c r="C67" s="8" t="inlineStr">
        <is>
          <t>Ingrédients &gt; Autre</t>
        </is>
      </c>
      <c r="D67" s="8" t="inlineStr">
        <is>
          <t>Ola</t>
        </is>
      </c>
      <c r="E67" s="8" t="inlineStr"/>
      <c r="F67" s="8" t="inlineStr">
        <is>
          <t>unit</t>
        </is>
      </c>
      <c r="G67" s="8" t="inlineStr"/>
      <c r="H67" s="14" t="n"/>
      <c r="I67" s="14" t="n">
        <v>0</v>
      </c>
      <c r="J67" s="15" t="n"/>
      <c r="K67" s="16" t="n"/>
      <c r="L67" s="17">
        <f>IF(AND(J67="",K67=""),"",IF(H67="",K67,J67*H67+K67))</f>
        <v/>
      </c>
      <c r="M67" s="17">
        <f>IF(L67="","",L67-I67)</f>
        <v/>
      </c>
      <c r="N67" s="18" t="n">
        <v>9</v>
      </c>
      <c r="O67" s="19">
        <f>IF(L67="","",L67*N67)</f>
        <v/>
      </c>
      <c r="P67" s="19">
        <f>IF(M67="","",M67*N67)</f>
        <v/>
      </c>
      <c r="Q67" s="8" t="n"/>
      <c r="R67" s="8" t="inlineStr">
        <is>
          <t>En stock</t>
        </is>
      </c>
      <c r="S67" s="9" t="n"/>
    </row>
    <row r="68">
      <c r="A68" s="8" t="n">
        <v>62</v>
      </c>
      <c r="B68" s="8" t="inlineStr">
        <is>
          <t>Matières premières</t>
        </is>
      </c>
      <c r="C68" s="8" t="inlineStr">
        <is>
          <t>Ingrédients &gt; Autre</t>
        </is>
      </c>
      <c r="D68" s="8" t="inlineStr">
        <is>
          <t>Ola</t>
        </is>
      </c>
      <c r="E68" s="8" t="inlineStr"/>
      <c r="F68" s="8" t="inlineStr">
        <is>
          <t>unit</t>
        </is>
      </c>
      <c r="G68" s="8" t="inlineStr"/>
      <c r="H68" s="14" t="n"/>
      <c r="I68" s="14" t="n">
        <v>0</v>
      </c>
      <c r="J68" s="15" t="n"/>
      <c r="K68" s="16" t="n"/>
      <c r="L68" s="17">
        <f>IF(AND(J68="",K68=""),"",IF(H68="",K68,J68*H68+K68))</f>
        <v/>
      </c>
      <c r="M68" s="17">
        <f>IF(L68="","",L68-I68)</f>
        <v/>
      </c>
      <c r="N68" s="18" t="n">
        <v>2.5</v>
      </c>
      <c r="O68" s="19">
        <f>IF(L68="","",L68*N68)</f>
        <v/>
      </c>
      <c r="P68" s="19">
        <f>IF(M68="","",M68*N68)</f>
        <v/>
      </c>
      <c r="Q68" s="8" t="n"/>
      <c r="R68" s="8" t="inlineStr">
        <is>
          <t>Stock a 0</t>
        </is>
      </c>
      <c r="S68" s="9" t="n"/>
    </row>
    <row r="69">
      <c r="A69" s="8" t="n">
        <v>63</v>
      </c>
      <c r="B69" s="8" t="inlineStr">
        <is>
          <t>Matières premières</t>
        </is>
      </c>
      <c r="C69" s="8" t="inlineStr">
        <is>
          <t>Ingrédients &gt; Autre</t>
        </is>
      </c>
      <c r="D69" s="8" t="inlineStr">
        <is>
          <t>Olives noires</t>
        </is>
      </c>
      <c r="E69" s="8" t="inlineStr"/>
      <c r="F69" s="8" t="inlineStr">
        <is>
          <t>kg</t>
        </is>
      </c>
      <c r="G69" s="8" t="inlineStr"/>
      <c r="H69" s="14" t="n"/>
      <c r="I69" s="14" t="n">
        <v>0</v>
      </c>
      <c r="J69" s="15" t="n"/>
      <c r="K69" s="16" t="n"/>
      <c r="L69" s="17">
        <f>IF(AND(J69="",K69=""),"",IF(H69="",K69,J69*H69+K69))</f>
        <v/>
      </c>
      <c r="M69" s="17">
        <f>IF(L69="","",L69-I69)</f>
        <v/>
      </c>
      <c r="N69" s="18" t="n">
        <v>0</v>
      </c>
      <c r="O69" s="19">
        <f>IF(L69="","",L69*N69)</f>
        <v/>
      </c>
      <c r="P69" s="19">
        <f>IF(M69="","",M69*N69)</f>
        <v/>
      </c>
      <c r="Q69" s="8" t="n"/>
      <c r="R69" s="8" t="inlineStr">
        <is>
          <t>Jamais recu</t>
        </is>
      </c>
      <c r="S69" s="9" t="n"/>
    </row>
    <row r="70">
      <c r="A70" s="8" t="n">
        <v>64</v>
      </c>
      <c r="B70" s="8" t="inlineStr">
        <is>
          <t>Matières premières</t>
        </is>
      </c>
      <c r="C70" s="8" t="inlineStr">
        <is>
          <t>Ingrédients &gt; Autre</t>
        </is>
      </c>
      <c r="D70" s="8" t="inlineStr">
        <is>
          <t>Olives noires</t>
        </is>
      </c>
      <c r="E70" s="8" t="inlineStr"/>
      <c r="F70" s="8" t="inlineStr">
        <is>
          <t>kg</t>
        </is>
      </c>
      <c r="G70" s="8" t="inlineStr"/>
      <c r="H70" s="14" t="n"/>
      <c r="I70" s="14" t="n">
        <v>0</v>
      </c>
      <c r="J70" s="15" t="n"/>
      <c r="K70" s="16" t="n"/>
      <c r="L70" s="17">
        <f>IF(AND(J70="",K70=""),"",IF(H70="",K70,J70*H70+K70))</f>
        <v/>
      </c>
      <c r="M70" s="17">
        <f>IF(L70="","",L70-I70)</f>
        <v/>
      </c>
      <c r="N70" s="18" t="n">
        <v>30</v>
      </c>
      <c r="O70" s="19">
        <f>IF(L70="","",L70*N70)</f>
        <v/>
      </c>
      <c r="P70" s="19">
        <f>IF(M70="","",M70*N70)</f>
        <v/>
      </c>
      <c r="Q70" s="8" t="n"/>
      <c r="R70" s="8" t="inlineStr">
        <is>
          <t>En stock</t>
        </is>
      </c>
      <c r="S70" s="9" t="n"/>
    </row>
    <row r="71">
      <c r="A71" s="8" t="n">
        <v>65</v>
      </c>
      <c r="B71" s="8" t="inlineStr">
        <is>
          <t>Matières premières</t>
        </is>
      </c>
      <c r="C71" s="8" t="inlineStr">
        <is>
          <t>Ingrédients &gt; Autre</t>
        </is>
      </c>
      <c r="D71" s="8" t="inlineStr">
        <is>
          <t>Olives noirs</t>
        </is>
      </c>
      <c r="E71" s="8" t="inlineStr"/>
      <c r="F71" s="8" t="inlineStr">
        <is>
          <t>g</t>
        </is>
      </c>
      <c r="G71" s="8" t="inlineStr"/>
      <c r="H71" s="14" t="n"/>
      <c r="I71" s="14" t="n">
        <v>0</v>
      </c>
      <c r="J71" s="15" t="n"/>
      <c r="K71" s="16" t="n"/>
      <c r="L71" s="17">
        <f>IF(AND(J71="",K71=""),"",IF(H71="",K71,J71*H71+K71))</f>
        <v/>
      </c>
      <c r="M71" s="17">
        <f>IF(L71="","",L71-I71)</f>
        <v/>
      </c>
      <c r="N71" s="18" t="n">
        <v>0.05</v>
      </c>
      <c r="O71" s="19">
        <f>IF(L71="","",L71*N71)</f>
        <v/>
      </c>
      <c r="P71" s="19">
        <f>IF(M71="","",M71*N71)</f>
        <v/>
      </c>
      <c r="Q71" s="8" t="n"/>
      <c r="R71" s="8" t="inlineStr">
        <is>
          <t>En stock</t>
        </is>
      </c>
      <c r="S71" s="9" t="n"/>
    </row>
    <row r="72">
      <c r="A72" s="8" t="n">
        <v>66</v>
      </c>
      <c r="B72" s="8" t="inlineStr">
        <is>
          <t>Matières premières</t>
        </is>
      </c>
      <c r="C72" s="8" t="inlineStr">
        <is>
          <t>Ingrédients &gt; Autre</t>
        </is>
      </c>
      <c r="D72" s="8" t="inlineStr">
        <is>
          <t>Orge concassée</t>
        </is>
      </c>
      <c r="E72" s="8" t="inlineStr"/>
      <c r="F72" s="8" t="inlineStr">
        <is>
          <t>kg</t>
        </is>
      </c>
      <c r="G72" s="8" t="inlineStr"/>
      <c r="H72" s="14" t="n"/>
      <c r="I72" s="14" t="n">
        <v>0</v>
      </c>
      <c r="J72" s="15" t="n"/>
      <c r="K72" s="16" t="n"/>
      <c r="L72" s="17">
        <f>IF(AND(J72="",K72=""),"",IF(H72="",K72,J72*H72+K72))</f>
        <v/>
      </c>
      <c r="M72" s="17">
        <f>IF(L72="","",L72-I72)</f>
        <v/>
      </c>
      <c r="N72" s="18" t="n">
        <v>8</v>
      </c>
      <c r="O72" s="19">
        <f>IF(L72="","",L72*N72)</f>
        <v/>
      </c>
      <c r="P72" s="19">
        <f>IF(M72="","",M72*N72)</f>
        <v/>
      </c>
      <c r="Q72" s="8" t="n"/>
      <c r="R72" s="8" t="inlineStr">
        <is>
          <t>En stock</t>
        </is>
      </c>
      <c r="S72" s="9" t="n"/>
    </row>
    <row r="73">
      <c r="A73" s="8" t="n">
        <v>67</v>
      </c>
      <c r="B73" s="8" t="inlineStr">
        <is>
          <t>Matières premières</t>
        </is>
      </c>
      <c r="C73" s="8" t="inlineStr">
        <is>
          <t>Ingrédients &gt; Autre</t>
        </is>
      </c>
      <c r="D73" s="8" t="inlineStr">
        <is>
          <t>PAPRIKA</t>
        </is>
      </c>
      <c r="E73" s="8" t="inlineStr"/>
      <c r="F73" s="8" t="inlineStr">
        <is>
          <t>g</t>
        </is>
      </c>
      <c r="G73" s="8" t="inlineStr"/>
      <c r="H73" s="14" t="n"/>
      <c r="I73" s="14" t="n">
        <v>0</v>
      </c>
      <c r="J73" s="15" t="n"/>
      <c r="K73" s="16" t="n"/>
      <c r="L73" s="17">
        <f>IF(AND(J73="",K73=""),"",IF(H73="",K73,J73*H73+K73))</f>
        <v/>
      </c>
      <c r="M73" s="17">
        <f>IF(L73="","",L73-I73)</f>
        <v/>
      </c>
      <c r="N73" s="18" t="n">
        <v>0.052</v>
      </c>
      <c r="O73" s="19">
        <f>IF(L73="","",L73*N73)</f>
        <v/>
      </c>
      <c r="P73" s="19">
        <f>IF(M73="","",M73*N73)</f>
        <v/>
      </c>
      <c r="Q73" s="8" t="n"/>
      <c r="R73" s="8" t="inlineStr">
        <is>
          <t>En stock</t>
        </is>
      </c>
      <c r="S73" s="9" t="n"/>
    </row>
    <row r="74">
      <c r="A74" s="8" t="n">
        <v>68</v>
      </c>
      <c r="B74" s="8" t="inlineStr">
        <is>
          <t>Matières premières</t>
        </is>
      </c>
      <c r="C74" s="8" t="inlineStr">
        <is>
          <t>Ingrédients &gt; Autre</t>
        </is>
      </c>
      <c r="D74" s="8" t="inlineStr">
        <is>
          <t>PISTACHE EN GRAINS</t>
        </is>
      </c>
      <c r="E74" s="8" t="inlineStr"/>
      <c r="F74" s="8" t="inlineStr">
        <is>
          <t>kg</t>
        </is>
      </c>
      <c r="G74" s="8" t="inlineStr"/>
      <c r="H74" s="14" t="n"/>
      <c r="I74" s="14" t="n">
        <v>0</v>
      </c>
      <c r="J74" s="15" t="n"/>
      <c r="K74" s="16" t="n"/>
      <c r="L74" s="17">
        <f>IF(AND(J74="",K74=""),"",IF(H74="",K74,J74*H74+K74))</f>
        <v/>
      </c>
      <c r="M74" s="17">
        <f>IF(L74="","",L74-I74)</f>
        <v/>
      </c>
      <c r="N74" s="18" t="n">
        <v>270</v>
      </c>
      <c r="O74" s="19">
        <f>IF(L74="","",L74*N74)</f>
        <v/>
      </c>
      <c r="P74" s="19">
        <f>IF(M74="","",M74*N74)</f>
        <v/>
      </c>
      <c r="Q74" s="8" t="n"/>
      <c r="R74" s="8" t="inlineStr">
        <is>
          <t>En stock</t>
        </is>
      </c>
      <c r="S74" s="9" t="n"/>
    </row>
    <row r="75">
      <c r="A75" s="8" t="n">
        <v>69</v>
      </c>
      <c r="B75" s="8" t="inlineStr">
        <is>
          <t>Matières premières</t>
        </is>
      </c>
      <c r="C75" s="8" t="inlineStr">
        <is>
          <t>Ingrédients &gt; Autre</t>
        </is>
      </c>
      <c r="D75" s="8" t="inlineStr">
        <is>
          <t>POIVRE NOIR</t>
        </is>
      </c>
      <c r="E75" s="8" t="inlineStr"/>
      <c r="F75" s="8" t="inlineStr">
        <is>
          <t>g</t>
        </is>
      </c>
      <c r="G75" s="8" t="inlineStr"/>
      <c r="H75" s="14" t="n"/>
      <c r="I75" s="14" t="n">
        <v>0</v>
      </c>
      <c r="J75" s="15" t="n"/>
      <c r="K75" s="16" t="n"/>
      <c r="L75" s="17">
        <f>IF(AND(J75="",K75=""),"",IF(H75="",K75,J75*H75+K75))</f>
        <v/>
      </c>
      <c r="M75" s="17">
        <f>IF(L75="","",L75-I75)</f>
        <v/>
      </c>
      <c r="N75" s="18" t="n">
        <v>0.092</v>
      </c>
      <c r="O75" s="19">
        <f>IF(L75="","",L75*N75)</f>
        <v/>
      </c>
      <c r="P75" s="19">
        <f>IF(M75="","",M75*N75)</f>
        <v/>
      </c>
      <c r="Q75" s="8" t="n"/>
      <c r="R75" s="8" t="inlineStr">
        <is>
          <t>En stock</t>
        </is>
      </c>
      <c r="S75" s="9" t="n"/>
    </row>
    <row r="76">
      <c r="A76" s="8" t="n">
        <v>70</v>
      </c>
      <c r="B76" s="8" t="inlineStr">
        <is>
          <t>Matières premières</t>
        </is>
      </c>
      <c r="C76" s="8" t="inlineStr">
        <is>
          <t>Ingrédients &gt; Autre</t>
        </is>
      </c>
      <c r="D76" s="8" t="inlineStr">
        <is>
          <t>PURAVITA DECORS</t>
        </is>
      </c>
      <c r="E76" s="8" t="inlineStr"/>
      <c r="F76" s="8" t="inlineStr">
        <is>
          <t>kg</t>
        </is>
      </c>
      <c r="G76" s="8" t="inlineStr"/>
      <c r="H76" s="14" t="n"/>
      <c r="I76" s="14" t="n">
        <v>0</v>
      </c>
      <c r="J76" s="15" t="n"/>
      <c r="K76" s="16" t="n"/>
      <c r="L76" s="17">
        <f>IF(AND(J76="",K76=""),"",IF(H76="",K76,J76*H76+K76))</f>
        <v/>
      </c>
      <c r="M76" s="17">
        <f>IF(L76="","",L76-I76)</f>
        <v/>
      </c>
      <c r="N76" s="18" t="n">
        <v>36</v>
      </c>
      <c r="O76" s="19">
        <f>IF(L76="","",L76*N76)</f>
        <v/>
      </c>
      <c r="P76" s="19">
        <f>IF(M76="","",M76*N76)</f>
        <v/>
      </c>
      <c r="Q76" s="8" t="n"/>
      <c r="R76" s="8" t="inlineStr">
        <is>
          <t>Stock a 0</t>
        </is>
      </c>
      <c r="S76" s="9" t="n"/>
    </row>
    <row r="77">
      <c r="A77" s="8" t="n">
        <v>71</v>
      </c>
      <c r="B77" s="8" t="inlineStr">
        <is>
          <t>Matières premières</t>
        </is>
      </c>
      <c r="C77" s="8" t="inlineStr">
        <is>
          <t>Ingrédients &gt; Autre</t>
        </is>
      </c>
      <c r="D77" s="8" t="inlineStr">
        <is>
          <t>Perles de sucre</t>
        </is>
      </c>
      <c r="E77" s="8" t="inlineStr"/>
      <c r="F77" s="8" t="inlineStr">
        <is>
          <t>unit</t>
        </is>
      </c>
      <c r="G77" s="8" t="inlineStr"/>
      <c r="H77" s="14" t="n"/>
      <c r="I77" s="14" t="n">
        <v>0</v>
      </c>
      <c r="J77" s="15" t="n"/>
      <c r="K77" s="16" t="n"/>
      <c r="L77" s="17">
        <f>IF(AND(J77="",K77=""),"",IF(H77="",K77,J77*H77+K77))</f>
        <v/>
      </c>
      <c r="M77" s="17">
        <f>IF(L77="","",L77-I77)</f>
        <v/>
      </c>
      <c r="N77" s="18" t="n">
        <v>10</v>
      </c>
      <c r="O77" s="19">
        <f>IF(L77="","",L77*N77)</f>
        <v/>
      </c>
      <c r="P77" s="19">
        <f>IF(M77="","",M77*N77)</f>
        <v/>
      </c>
      <c r="Q77" s="8" t="n"/>
      <c r="R77" s="8" t="inlineStr">
        <is>
          <t>En stock</t>
        </is>
      </c>
      <c r="S77" s="9" t="n"/>
    </row>
    <row r="78">
      <c r="A78" s="8" t="n">
        <v>72</v>
      </c>
      <c r="B78" s="8" t="inlineStr">
        <is>
          <t>Matières premières</t>
        </is>
      </c>
      <c r="C78" s="8" t="inlineStr">
        <is>
          <t>Ingrédients &gt; Autre</t>
        </is>
      </c>
      <c r="D78" s="8" t="inlineStr">
        <is>
          <t>Perlé or</t>
        </is>
      </c>
      <c r="E78" s="8" t="inlineStr"/>
      <c r="F78" s="8" t="inlineStr">
        <is>
          <t>unit</t>
        </is>
      </c>
      <c r="G78" s="8" t="inlineStr"/>
      <c r="H78" s="14" t="n"/>
      <c r="I78" s="14" t="n">
        <v>0</v>
      </c>
      <c r="J78" s="15" t="n"/>
      <c r="K78" s="16" t="n"/>
      <c r="L78" s="17">
        <f>IF(AND(J78="",K78=""),"",IF(H78="",K78,J78*H78+K78))</f>
        <v/>
      </c>
      <c r="M78" s="17">
        <f>IF(L78="","",L78-I78)</f>
        <v/>
      </c>
      <c r="N78" s="18" t="n">
        <v>28</v>
      </c>
      <c r="O78" s="19">
        <f>IF(L78="","",L78*N78)</f>
        <v/>
      </c>
      <c r="P78" s="19">
        <f>IF(M78="","",M78*N78)</f>
        <v/>
      </c>
      <c r="Q78" s="8" t="n"/>
      <c r="R78" s="8" t="inlineStr">
        <is>
          <t>Stock a 0</t>
        </is>
      </c>
      <c r="S78" s="9" t="n"/>
    </row>
    <row r="79">
      <c r="A79" s="8" t="n">
        <v>73</v>
      </c>
      <c r="B79" s="8" t="inlineStr">
        <is>
          <t>Matières premières</t>
        </is>
      </c>
      <c r="C79" s="8" t="inlineStr">
        <is>
          <t>Ingrédients &gt; Autre</t>
        </is>
      </c>
      <c r="D79" s="8" t="inlineStr">
        <is>
          <t>Pistache</t>
        </is>
      </c>
      <c r="E79" s="8" t="inlineStr"/>
      <c r="F79" s="8" t="inlineStr">
        <is>
          <t>g</t>
        </is>
      </c>
      <c r="G79" s="8" t="inlineStr"/>
      <c r="H79" s="14" t="n"/>
      <c r="I79" s="14" t="n">
        <v>0</v>
      </c>
      <c r="J79" s="15" t="n"/>
      <c r="K79" s="16" t="n"/>
      <c r="L79" s="17">
        <f>IF(AND(J79="",K79=""),"",IF(H79="",K79,J79*H79+K79))</f>
        <v/>
      </c>
      <c r="M79" s="17">
        <f>IF(L79="","",L79-I79)</f>
        <v/>
      </c>
      <c r="N79" s="18" t="n">
        <v>0</v>
      </c>
      <c r="O79" s="19">
        <f>IF(L79="","",L79*N79)</f>
        <v/>
      </c>
      <c r="P79" s="19">
        <f>IF(M79="","",M79*N79)</f>
        <v/>
      </c>
      <c r="Q79" s="8" t="n"/>
      <c r="R79" s="8" t="inlineStr">
        <is>
          <t>Jamais recu</t>
        </is>
      </c>
      <c r="S79" s="9" t="n"/>
    </row>
    <row r="80">
      <c r="A80" s="8" t="n">
        <v>74</v>
      </c>
      <c r="B80" s="8" t="inlineStr">
        <is>
          <t>Matières premières</t>
        </is>
      </c>
      <c r="C80" s="8" t="inlineStr">
        <is>
          <t>Ingrédients &gt; Autre</t>
        </is>
      </c>
      <c r="D80" s="8" t="inlineStr">
        <is>
          <t>Plateau Prestige PM</t>
        </is>
      </c>
      <c r="E80" s="8" t="inlineStr"/>
      <c r="F80" s="8" t="inlineStr">
        <is>
          <t>unit</t>
        </is>
      </c>
      <c r="G80" s="8" t="inlineStr"/>
      <c r="H80" s="14" t="n"/>
      <c r="I80" s="14" t="n">
        <v>0</v>
      </c>
      <c r="J80" s="15" t="n"/>
      <c r="K80" s="16" t="n"/>
      <c r="L80" s="17">
        <f>IF(AND(J80="",K80=""),"",IF(H80="",K80,J80*H80+K80))</f>
        <v/>
      </c>
      <c r="M80" s="17">
        <f>IF(L80="","",L80-I80)</f>
        <v/>
      </c>
      <c r="N80" s="18" t="n">
        <v>105</v>
      </c>
      <c r="O80" s="19">
        <f>IF(L80="","",L80*N80)</f>
        <v/>
      </c>
      <c r="P80" s="19">
        <f>IF(M80="","",M80*N80)</f>
        <v/>
      </c>
      <c r="Q80" s="8" t="n"/>
      <c r="R80" s="8" t="inlineStr">
        <is>
          <t>Stock a 0</t>
        </is>
      </c>
      <c r="S80" s="9" t="n"/>
    </row>
    <row r="81">
      <c r="A81" s="8" t="n">
        <v>75</v>
      </c>
      <c r="B81" s="8" t="inlineStr">
        <is>
          <t>Matières premières</t>
        </is>
      </c>
      <c r="C81" s="8" t="inlineStr">
        <is>
          <t>Ingrédients &gt; Autre</t>
        </is>
      </c>
      <c r="D81" s="8" t="inlineStr">
        <is>
          <t>Poche</t>
        </is>
      </c>
      <c r="E81" s="8" t="inlineStr"/>
      <c r="F81" s="8" t="inlineStr">
        <is>
          <t>unit</t>
        </is>
      </c>
      <c r="G81" s="8" t="inlineStr"/>
      <c r="H81" s="14" t="n"/>
      <c r="I81" s="14" t="n">
        <v>0</v>
      </c>
      <c r="J81" s="15" t="n"/>
      <c r="K81" s="16" t="n"/>
      <c r="L81" s="17">
        <f>IF(AND(J81="",K81=""),"",IF(H81="",K81,J81*H81+K81))</f>
        <v/>
      </c>
      <c r="M81" s="17">
        <f>IF(L81="","",L81-I81)</f>
        <v/>
      </c>
      <c r="N81" s="18" t="n">
        <v>135</v>
      </c>
      <c r="O81" s="19">
        <f>IF(L81="","",L81*N81)</f>
        <v/>
      </c>
      <c r="P81" s="19">
        <f>IF(M81="","",M81*N81)</f>
        <v/>
      </c>
      <c r="Q81" s="8" t="n"/>
      <c r="R81" s="8" t="inlineStr">
        <is>
          <t>En stock</t>
        </is>
      </c>
      <c r="S81" s="9" t="n"/>
    </row>
    <row r="82">
      <c r="A82" s="8" t="n">
        <v>76</v>
      </c>
      <c r="B82" s="8" t="inlineStr">
        <is>
          <t>Matières premières</t>
        </is>
      </c>
      <c r="C82" s="8" t="inlineStr">
        <is>
          <t>Ingrédients &gt; Autre</t>
        </is>
      </c>
      <c r="D82" s="8" t="inlineStr">
        <is>
          <t>Porte documents</t>
        </is>
      </c>
      <c r="E82" s="8" t="inlineStr"/>
      <c r="F82" s="8" t="inlineStr">
        <is>
          <t>unit</t>
        </is>
      </c>
      <c r="G82" s="8" t="inlineStr"/>
      <c r="H82" s="14" t="n"/>
      <c r="I82" s="14" t="n">
        <v>0</v>
      </c>
      <c r="J82" s="15" t="n"/>
      <c r="K82" s="16" t="n"/>
      <c r="L82" s="17">
        <f>IF(AND(J82="",K82=""),"",IF(H82="",K82,J82*H82+K82))</f>
        <v/>
      </c>
      <c r="M82" s="17">
        <f>IF(L82="","",L82-I82)</f>
        <v/>
      </c>
      <c r="N82" s="18" t="n">
        <v>4</v>
      </c>
      <c r="O82" s="19">
        <f>IF(L82="","",L82*N82)</f>
        <v/>
      </c>
      <c r="P82" s="19">
        <f>IF(M82="","",M82*N82)</f>
        <v/>
      </c>
      <c r="Q82" s="8" t="n"/>
      <c r="R82" s="8" t="inlineStr">
        <is>
          <t>Stock a 0</t>
        </is>
      </c>
      <c r="S82" s="9" t="n"/>
    </row>
    <row r="83">
      <c r="A83" s="8" t="n">
        <v>77</v>
      </c>
      <c r="B83" s="8" t="inlineStr">
        <is>
          <t>Matières premières</t>
        </is>
      </c>
      <c r="C83" s="8" t="inlineStr">
        <is>
          <t>Ingrédients &gt; Autre</t>
        </is>
      </c>
      <c r="D83" s="8" t="inlineStr">
        <is>
          <t>Poulet complet</t>
        </is>
      </c>
      <c r="E83" s="8" t="inlineStr"/>
      <c r="F83" s="8" t="inlineStr">
        <is>
          <t>kg</t>
        </is>
      </c>
      <c r="G83" s="8" t="inlineStr"/>
      <c r="H83" s="14" t="n"/>
      <c r="I83" s="14" t="n">
        <v>0</v>
      </c>
      <c r="J83" s="15" t="n"/>
      <c r="K83" s="16" t="n"/>
      <c r="L83" s="17">
        <f>IF(AND(J83="",K83=""),"",IF(H83="",K83,J83*H83+K83))</f>
        <v/>
      </c>
      <c r="M83" s="17">
        <f>IF(L83="","",L83-I83)</f>
        <v/>
      </c>
      <c r="N83" s="18" t="n">
        <v>32</v>
      </c>
      <c r="O83" s="19">
        <f>IF(L83="","",L83*N83)</f>
        <v/>
      </c>
      <c r="P83" s="19">
        <f>IF(M83="","",M83*N83)</f>
        <v/>
      </c>
      <c r="Q83" s="8" t="n"/>
      <c r="R83" s="8" t="inlineStr">
        <is>
          <t>En stock</t>
        </is>
      </c>
      <c r="S83" s="9" t="n"/>
    </row>
    <row r="84">
      <c r="A84" s="8" t="n">
        <v>78</v>
      </c>
      <c r="B84" s="8" t="inlineStr">
        <is>
          <t>Matières premières</t>
        </is>
      </c>
      <c r="C84" s="8" t="inlineStr">
        <is>
          <t>Ingrédients &gt; Autre</t>
        </is>
      </c>
      <c r="D84" s="8" t="inlineStr">
        <is>
          <t>Praliné amande</t>
        </is>
      </c>
      <c r="E84" s="8" t="inlineStr"/>
      <c r="F84" s="8" t="inlineStr">
        <is>
          <t>kg</t>
        </is>
      </c>
      <c r="G84" s="8" t="inlineStr"/>
      <c r="H84" s="14" t="n"/>
      <c r="I84" s="14" t="n">
        <v>0</v>
      </c>
      <c r="J84" s="15" t="n"/>
      <c r="K84" s="16" t="n"/>
      <c r="L84" s="17">
        <f>IF(AND(J84="",K84=""),"",IF(H84="",K84,J84*H84+K84))</f>
        <v/>
      </c>
      <c r="M84" s="17">
        <f>IF(L84="","",L84-I84)</f>
        <v/>
      </c>
      <c r="N84" s="18" t="n">
        <v>68.54000000000001</v>
      </c>
      <c r="O84" s="19">
        <f>IF(L84="","",L84*N84)</f>
        <v/>
      </c>
      <c r="P84" s="19">
        <f>IF(M84="","",M84*N84)</f>
        <v/>
      </c>
      <c r="Q84" s="8" t="n"/>
      <c r="R84" s="8" t="inlineStr">
        <is>
          <t>En stock</t>
        </is>
      </c>
      <c r="S84" s="9" t="n"/>
    </row>
    <row r="85">
      <c r="A85" s="8" t="n">
        <v>79</v>
      </c>
      <c r="B85" s="8" t="inlineStr">
        <is>
          <t>Matières premières</t>
        </is>
      </c>
      <c r="C85" s="8" t="inlineStr">
        <is>
          <t>Ingrédients &gt; Autre</t>
        </is>
      </c>
      <c r="D85" s="8" t="inlineStr">
        <is>
          <t>Puravita decors</t>
        </is>
      </c>
      <c r="E85" s="8" t="inlineStr"/>
      <c r="F85" s="8" t="inlineStr">
        <is>
          <t>kg</t>
        </is>
      </c>
      <c r="G85" s="8" t="inlineStr"/>
      <c r="H85" s="14" t="n"/>
      <c r="I85" s="14" t="n">
        <v>0</v>
      </c>
      <c r="J85" s="15" t="n"/>
      <c r="K85" s="16" t="n"/>
      <c r="L85" s="17">
        <f>IF(AND(J85="",K85=""),"",IF(H85="",K85,J85*H85+K85))</f>
        <v/>
      </c>
      <c r="M85" s="17">
        <f>IF(L85="","",L85-I85)</f>
        <v/>
      </c>
      <c r="N85" s="18" t="n">
        <v>36</v>
      </c>
      <c r="O85" s="19">
        <f>IF(L85="","",L85*N85)</f>
        <v/>
      </c>
      <c r="P85" s="19">
        <f>IF(M85="","",M85*N85)</f>
        <v/>
      </c>
      <c r="Q85" s="8" t="n"/>
      <c r="R85" s="8" t="inlineStr">
        <is>
          <t>En stock</t>
        </is>
      </c>
      <c r="S85" s="9" t="n"/>
    </row>
    <row r="86">
      <c r="A86" s="8" t="n">
        <v>80</v>
      </c>
      <c r="B86" s="8" t="inlineStr">
        <is>
          <t>Matières premières</t>
        </is>
      </c>
      <c r="C86" s="8" t="inlineStr">
        <is>
          <t>Ingrédients &gt; Autre</t>
        </is>
      </c>
      <c r="D86" s="8" t="inlineStr">
        <is>
          <t>Puree pomme</t>
        </is>
      </c>
      <c r="E86" s="8" t="inlineStr"/>
      <c r="F86" s="8" t="inlineStr">
        <is>
          <t>l</t>
        </is>
      </c>
      <c r="G86" s="8" t="inlineStr"/>
      <c r="H86" s="14" t="n"/>
      <c r="I86" s="14" t="n">
        <v>0</v>
      </c>
      <c r="J86" s="15" t="n"/>
      <c r="K86" s="16" t="n"/>
      <c r="L86" s="17">
        <f>IF(AND(J86="",K86=""),"",IF(H86="",K86,J86*H86+K86))</f>
        <v/>
      </c>
      <c r="M86" s="17">
        <f>IF(L86="","",L86-I86)</f>
        <v/>
      </c>
      <c r="N86" s="18" t="n">
        <v>0</v>
      </c>
      <c r="O86" s="19">
        <f>IF(L86="","",L86*N86)</f>
        <v/>
      </c>
      <c r="P86" s="19">
        <f>IF(M86="","",M86*N86)</f>
        <v/>
      </c>
      <c r="Q86" s="8" t="n"/>
      <c r="R86" s="8" t="inlineStr">
        <is>
          <t>Jamais recu</t>
        </is>
      </c>
      <c r="S86" s="9" t="n"/>
    </row>
    <row r="87">
      <c r="A87" s="8" t="n">
        <v>81</v>
      </c>
      <c r="B87" s="8" t="inlineStr">
        <is>
          <t>Matières premières</t>
        </is>
      </c>
      <c r="C87" s="8" t="inlineStr">
        <is>
          <t>Ingrédients &gt; Autre</t>
        </is>
      </c>
      <c r="D87" s="8" t="inlineStr">
        <is>
          <t>Purée ananas</t>
        </is>
      </c>
      <c r="E87" s="8" t="inlineStr"/>
      <c r="F87" s="8" t="inlineStr">
        <is>
          <t>l</t>
        </is>
      </c>
      <c r="G87" s="8" t="inlineStr"/>
      <c r="H87" s="14" t="n"/>
      <c r="I87" s="14" t="n">
        <v>0</v>
      </c>
      <c r="J87" s="15" t="n"/>
      <c r="K87" s="16" t="n"/>
      <c r="L87" s="17">
        <f>IF(AND(J87="",K87=""),"",IF(H87="",K87,J87*H87+K87))</f>
        <v/>
      </c>
      <c r="M87" s="17">
        <f>IF(L87="","",L87-I87)</f>
        <v/>
      </c>
      <c r="N87" s="18" t="n">
        <v>84.5</v>
      </c>
      <c r="O87" s="19">
        <f>IF(L87="","",L87*N87)</f>
        <v/>
      </c>
      <c r="P87" s="19">
        <f>IF(M87="","",M87*N87)</f>
        <v/>
      </c>
      <c r="Q87" s="8" t="n"/>
      <c r="R87" s="8" t="inlineStr">
        <is>
          <t>En stock</t>
        </is>
      </c>
      <c r="S87" s="9" t="n"/>
    </row>
    <row r="88">
      <c r="A88" s="8" t="n">
        <v>82</v>
      </c>
      <c r="B88" s="8" t="inlineStr">
        <is>
          <t>Matières premières</t>
        </is>
      </c>
      <c r="C88" s="8" t="inlineStr">
        <is>
          <t>Ingrédients &gt; Autre</t>
        </is>
      </c>
      <c r="D88" s="8" t="inlineStr">
        <is>
          <t>Purée de mangue</t>
        </is>
      </c>
      <c r="E88" s="8" t="inlineStr"/>
      <c r="F88" s="8" t="inlineStr">
        <is>
          <t>kg</t>
        </is>
      </c>
      <c r="G88" s="8" t="inlineStr"/>
      <c r="H88" s="14" t="n"/>
      <c r="I88" s="14" t="n">
        <v>0</v>
      </c>
      <c r="J88" s="15" t="n"/>
      <c r="K88" s="16" t="n"/>
      <c r="L88" s="17">
        <f>IF(AND(J88="",K88=""),"",IF(H88="",K88,J88*H88+K88))</f>
        <v/>
      </c>
      <c r="M88" s="17">
        <f>IF(L88="","",L88-I88)</f>
        <v/>
      </c>
      <c r="N88" s="18" t="n">
        <v>97.8</v>
      </c>
      <c r="O88" s="19">
        <f>IF(L88="","",L88*N88)</f>
        <v/>
      </c>
      <c r="P88" s="19">
        <f>IF(M88="","",M88*N88)</f>
        <v/>
      </c>
      <c r="Q88" s="8" t="n"/>
      <c r="R88" s="8" t="inlineStr">
        <is>
          <t>Stock a 0</t>
        </is>
      </c>
      <c r="S88" s="9" t="n"/>
    </row>
    <row r="89">
      <c r="A89" s="8" t="n">
        <v>83</v>
      </c>
      <c r="B89" s="8" t="inlineStr">
        <is>
          <t>Matières premières</t>
        </is>
      </c>
      <c r="C89" s="8" t="inlineStr">
        <is>
          <t>Ingrédients &gt; Autre</t>
        </is>
      </c>
      <c r="D89" s="8" t="inlineStr">
        <is>
          <t>Purée de passion</t>
        </is>
      </c>
      <c r="E89" s="8" t="inlineStr"/>
      <c r="F89" s="8" t="inlineStr">
        <is>
          <t>l</t>
        </is>
      </c>
      <c r="G89" s="8" t="inlineStr"/>
      <c r="H89" s="14" t="n"/>
      <c r="I89" s="14" t="n">
        <v>0</v>
      </c>
      <c r="J89" s="15" t="n"/>
      <c r="K89" s="16" t="n"/>
      <c r="L89" s="17">
        <f>IF(AND(J89="",K89=""),"",IF(H89="",K89,J89*H89+K89))</f>
        <v/>
      </c>
      <c r="M89" s="17">
        <f>IF(L89="","",L89-I89)</f>
        <v/>
      </c>
      <c r="N89" s="18" t="n">
        <v>97.8</v>
      </c>
      <c r="O89" s="19">
        <f>IF(L89="","",L89*N89)</f>
        <v/>
      </c>
      <c r="P89" s="19">
        <f>IF(M89="","",M89*N89)</f>
        <v/>
      </c>
      <c r="Q89" s="8" t="inlineStr">
        <is>
          <t>2027-02-03</t>
        </is>
      </c>
      <c r="R89" s="8" t="inlineStr">
        <is>
          <t>En stock</t>
        </is>
      </c>
      <c r="S89" s="9" t="n"/>
    </row>
    <row r="90">
      <c r="A90" s="8" t="n">
        <v>84</v>
      </c>
      <c r="B90" s="8" t="inlineStr">
        <is>
          <t>Matières premières</t>
        </is>
      </c>
      <c r="C90" s="8" t="inlineStr">
        <is>
          <t>Ingrédients &gt; Autre</t>
        </is>
      </c>
      <c r="D90" s="8" t="inlineStr">
        <is>
          <t>Purée de poire</t>
        </is>
      </c>
      <c r="E90" s="8" t="inlineStr"/>
      <c r="F90" s="8" t="inlineStr">
        <is>
          <t>ml</t>
        </is>
      </c>
      <c r="G90" s="8" t="inlineStr"/>
      <c r="H90" s="14" t="n"/>
      <c r="I90" s="14" t="n">
        <v>0</v>
      </c>
      <c r="J90" s="15" t="n"/>
      <c r="K90" s="16" t="n"/>
      <c r="L90" s="17">
        <f>IF(AND(J90="",K90=""),"",IF(H90="",K90,J90*H90+K90))</f>
        <v/>
      </c>
      <c r="M90" s="17">
        <f>IF(L90="","",L90-I90)</f>
        <v/>
      </c>
      <c r="N90" s="18" t="n">
        <v>0</v>
      </c>
      <c r="O90" s="19">
        <f>IF(L90="","",L90*N90)</f>
        <v/>
      </c>
      <c r="P90" s="19">
        <f>IF(M90="","",M90*N90)</f>
        <v/>
      </c>
      <c r="Q90" s="8" t="n"/>
      <c r="R90" s="8" t="inlineStr">
        <is>
          <t>Jamais recu</t>
        </is>
      </c>
      <c r="S90" s="9" t="n"/>
    </row>
    <row r="91">
      <c r="A91" s="8" t="n">
        <v>85</v>
      </c>
      <c r="B91" s="8" t="inlineStr">
        <is>
          <t>Matières premières</t>
        </is>
      </c>
      <c r="C91" s="8" t="inlineStr">
        <is>
          <t>Ingrédients &gt; Autre</t>
        </is>
      </c>
      <c r="D91" s="8" t="inlineStr">
        <is>
          <t>Purée framboises</t>
        </is>
      </c>
      <c r="E91" s="8" t="inlineStr"/>
      <c r="F91" s="8" t="inlineStr">
        <is>
          <t>kg</t>
        </is>
      </c>
      <c r="G91" s="8" t="inlineStr"/>
      <c r="H91" s="14" t="n"/>
      <c r="I91" s="14" t="n">
        <v>0</v>
      </c>
      <c r="J91" s="15" t="n"/>
      <c r="K91" s="16" t="n"/>
      <c r="L91" s="17">
        <f>IF(AND(J91="",K91=""),"",IF(H91="",K91,J91*H91+K91))</f>
        <v/>
      </c>
      <c r="M91" s="17">
        <f>IF(L91="","",L91-I91)</f>
        <v/>
      </c>
      <c r="N91" s="18" t="n">
        <v>97.8</v>
      </c>
      <c r="O91" s="19">
        <f>IF(L91="","",L91*N91)</f>
        <v/>
      </c>
      <c r="P91" s="19">
        <f>IF(M91="","",M91*N91)</f>
        <v/>
      </c>
      <c r="Q91" s="8" t="n"/>
      <c r="R91" s="8" t="inlineStr">
        <is>
          <t>En stock</t>
        </is>
      </c>
      <c r="S91" s="9" t="n"/>
    </row>
    <row r="92">
      <c r="A92" s="8" t="n">
        <v>86</v>
      </c>
      <c r="B92" s="8" t="inlineStr">
        <is>
          <t>Matières premières</t>
        </is>
      </c>
      <c r="C92" s="8" t="inlineStr">
        <is>
          <t>Ingrédients &gt; Autre</t>
        </is>
      </c>
      <c r="D92" s="8" t="inlineStr">
        <is>
          <t>Purée passion</t>
        </is>
      </c>
      <c r="E92" s="8" t="inlineStr"/>
      <c r="F92" s="8" t="inlineStr">
        <is>
          <t>ml</t>
        </is>
      </c>
      <c r="G92" s="8" t="inlineStr"/>
      <c r="H92" s="14" t="n"/>
      <c r="I92" s="14" t="n">
        <v>0</v>
      </c>
      <c r="J92" s="15" t="n"/>
      <c r="K92" s="16" t="n"/>
      <c r="L92" s="17">
        <f>IF(AND(J92="",K92=""),"",IF(H92="",K92,J92*H92+K92))</f>
        <v/>
      </c>
      <c r="M92" s="17">
        <f>IF(L92="","",L92-I92)</f>
        <v/>
      </c>
      <c r="N92" s="18" t="n">
        <v>0</v>
      </c>
      <c r="O92" s="19">
        <f>IF(L92="","",L92*N92)</f>
        <v/>
      </c>
      <c r="P92" s="19">
        <f>IF(M92="","",M92*N92)</f>
        <v/>
      </c>
      <c r="Q92" s="8" t="n"/>
      <c r="R92" s="8" t="inlineStr">
        <is>
          <t>Jamais recu</t>
        </is>
      </c>
      <c r="S92" s="9" t="n"/>
    </row>
    <row r="93">
      <c r="A93" s="8" t="n">
        <v>87</v>
      </c>
      <c r="B93" s="8" t="inlineStr">
        <is>
          <t>Matières premières</t>
        </is>
      </c>
      <c r="C93" s="8" t="inlineStr">
        <is>
          <t>Ingrédients &gt; Autre</t>
        </is>
      </c>
      <c r="D93" s="8" t="inlineStr">
        <is>
          <t>Purée pomme</t>
        </is>
      </c>
      <c r="E93" s="8" t="inlineStr"/>
      <c r="F93" s="8" t="inlineStr">
        <is>
          <t>kg</t>
        </is>
      </c>
      <c r="G93" s="8" t="inlineStr"/>
      <c r="H93" s="14" t="n"/>
      <c r="I93" s="14" t="n">
        <v>0</v>
      </c>
      <c r="J93" s="15" t="n"/>
      <c r="K93" s="16" t="n"/>
      <c r="L93" s="17">
        <f>IF(AND(J93="",K93=""),"",IF(H93="",K93,J93*H93+K93))</f>
        <v/>
      </c>
      <c r="M93" s="17">
        <f>IF(L93="","",L93-I93)</f>
        <v/>
      </c>
      <c r="N93" s="18" t="n">
        <v>0</v>
      </c>
      <c r="O93" s="19">
        <f>IF(L93="","",L93*N93)</f>
        <v/>
      </c>
      <c r="P93" s="19">
        <f>IF(M93="","",M93*N93)</f>
        <v/>
      </c>
      <c r="Q93" s="8" t="n"/>
      <c r="R93" s="8" t="inlineStr">
        <is>
          <t>Jamais recu</t>
        </is>
      </c>
      <c r="S93" s="9" t="n"/>
    </row>
    <row r="94">
      <c r="A94" s="8" t="n">
        <v>88</v>
      </c>
      <c r="B94" s="8" t="inlineStr">
        <is>
          <t>Matières premières</t>
        </is>
      </c>
      <c r="C94" s="8" t="inlineStr">
        <is>
          <t>Ingrédients &gt; Autre</t>
        </is>
      </c>
      <c r="D94" s="8" t="inlineStr">
        <is>
          <t>RAISIN</t>
        </is>
      </c>
      <c r="E94" s="8" t="inlineStr"/>
      <c r="F94" s="8" t="inlineStr">
        <is>
          <t>kg</t>
        </is>
      </c>
      <c r="G94" s="8" t="inlineStr"/>
      <c r="H94" s="14" t="n"/>
      <c r="I94" s="14" t="n">
        <v>0</v>
      </c>
      <c r="J94" s="15" t="n"/>
      <c r="K94" s="30" t="n">
        <v>20.5</v>
      </c>
      <c r="L94" s="17">
        <f>IF(AND(J94="",K94=""),"",IF(H94="",K94,J94*H94+K94))</f>
        <v/>
      </c>
      <c r="M94" s="17">
        <f>IF(L94="","",L94-I94)</f>
        <v/>
      </c>
      <c r="N94" s="18" t="n">
        <v>50</v>
      </c>
      <c r="O94" s="19">
        <f>IF(L94="","",L94*N94)</f>
        <v/>
      </c>
      <c r="P94" s="19">
        <f>IF(M94="","",M94*N94)</f>
        <v/>
      </c>
      <c r="Q94" s="8" t="n"/>
      <c r="R94" s="8" t="inlineStr">
        <is>
          <t>En stock</t>
        </is>
      </c>
      <c r="S94" s="9" t="n"/>
    </row>
    <row r="95">
      <c r="A95" s="8" t="n">
        <v>89</v>
      </c>
      <c r="B95" s="8" t="inlineStr">
        <is>
          <t>Matières premières</t>
        </is>
      </c>
      <c r="C95" s="8" t="inlineStr">
        <is>
          <t>Ingrédients &gt; Autre</t>
        </is>
      </c>
      <c r="D95" s="8" t="inlineStr">
        <is>
          <t>Roses</t>
        </is>
      </c>
      <c r="E95" s="8" t="inlineStr"/>
      <c r="F95" s="8" t="inlineStr">
        <is>
          <t>unit</t>
        </is>
      </c>
      <c r="G95" s="8" t="inlineStr"/>
      <c r="H95" s="14" t="n"/>
      <c r="I95" s="14" t="n">
        <v>0</v>
      </c>
      <c r="J95" s="15" t="n"/>
      <c r="K95" s="16" t="n"/>
      <c r="L95" s="17">
        <f>IF(AND(J95="",K95=""),"",IF(H95="",K95,J95*H95+K95))</f>
        <v/>
      </c>
      <c r="M95" s="17">
        <f>IF(L95="","",L95-I95)</f>
        <v/>
      </c>
      <c r="N95" s="18" t="n">
        <v>2</v>
      </c>
      <c r="O95" s="19">
        <f>IF(L95="","",L95*N95)</f>
        <v/>
      </c>
      <c r="P95" s="19">
        <f>IF(M95="","",M95*N95)</f>
        <v/>
      </c>
      <c r="Q95" s="8" t="n"/>
      <c r="R95" s="8" t="inlineStr">
        <is>
          <t>En stock</t>
        </is>
      </c>
      <c r="S95" s="9" t="n"/>
    </row>
    <row r="96">
      <c r="A96" s="8" t="n">
        <v>90</v>
      </c>
      <c r="B96" s="8" t="inlineStr">
        <is>
          <t>Matières premières</t>
        </is>
      </c>
      <c r="C96" s="8" t="inlineStr">
        <is>
          <t>Ingrédients &gt; Autre</t>
        </is>
      </c>
      <c r="D96" s="8" t="inlineStr">
        <is>
          <t>SUCRE CASSONADE</t>
        </is>
      </c>
      <c r="E96" s="8" t="inlineStr"/>
      <c r="F96" s="8" t="inlineStr">
        <is>
          <t>kg</t>
        </is>
      </c>
      <c r="G96" s="8" t="inlineStr"/>
      <c r="H96" s="14" t="n"/>
      <c r="I96" s="14" t="n">
        <v>0</v>
      </c>
      <c r="J96" s="15" t="n"/>
      <c r="K96" s="16" t="n"/>
      <c r="L96" s="17">
        <f>IF(AND(J96="",K96=""),"",IF(H96="",K96,J96*H96+K96))</f>
        <v/>
      </c>
      <c r="M96" s="17">
        <f>IF(L96="","",L96-I96)</f>
        <v/>
      </c>
      <c r="N96" s="18" t="n">
        <v>40.83</v>
      </c>
      <c r="O96" s="19">
        <f>IF(L96="","",L96*N96)</f>
        <v/>
      </c>
      <c r="P96" s="19">
        <f>IF(M96="","",M96*N96)</f>
        <v/>
      </c>
      <c r="Q96" s="8" t="n"/>
      <c r="R96" s="8" t="inlineStr">
        <is>
          <t>En stock</t>
        </is>
      </c>
      <c r="S96" s="9" t="n"/>
    </row>
    <row r="97">
      <c r="A97" s="8" t="n">
        <v>91</v>
      </c>
      <c r="B97" s="8" t="inlineStr">
        <is>
          <t>Matières premières</t>
        </is>
      </c>
      <c r="C97" s="8" t="inlineStr">
        <is>
          <t>Ingrédients &gt; Autre</t>
        </is>
      </c>
      <c r="D97" s="8" t="inlineStr">
        <is>
          <t>Salé</t>
        </is>
      </c>
      <c r="E97" s="8" t="inlineStr"/>
      <c r="F97" s="8" t="inlineStr">
        <is>
          <t>unit</t>
        </is>
      </c>
      <c r="G97" s="8" t="inlineStr"/>
      <c r="H97" s="14" t="n"/>
      <c r="I97" s="14" t="n">
        <v>0</v>
      </c>
      <c r="J97" s="15" t="n"/>
      <c r="K97" s="16" t="n"/>
      <c r="L97" s="17">
        <f>IF(AND(J97="",K97=""),"",IF(H97="",K97,J97*H97+K97))</f>
        <v/>
      </c>
      <c r="M97" s="17">
        <f>IF(L97="","",L97-I97)</f>
        <v/>
      </c>
      <c r="N97" s="18" t="n">
        <v>10</v>
      </c>
      <c r="O97" s="19">
        <f>IF(L97="","",L97*N97)</f>
        <v/>
      </c>
      <c r="P97" s="19">
        <f>IF(M97="","",M97*N97)</f>
        <v/>
      </c>
      <c r="Q97" s="8" t="n"/>
      <c r="R97" s="8" t="inlineStr">
        <is>
          <t>En stock</t>
        </is>
      </c>
      <c r="S97" s="9" t="n"/>
    </row>
    <row r="98">
      <c r="A98" s="8" t="n">
        <v>92</v>
      </c>
      <c r="B98" s="8" t="inlineStr">
        <is>
          <t>Matières premières</t>
        </is>
      </c>
      <c r="C98" s="8" t="inlineStr">
        <is>
          <t>Ingrédients &gt; Autre</t>
        </is>
      </c>
      <c r="D98" s="8" t="inlineStr">
        <is>
          <t>Sapoir shaabi</t>
        </is>
      </c>
      <c r="E98" s="8" t="inlineStr"/>
      <c r="F98" s="8" t="inlineStr">
        <is>
          <t>kg</t>
        </is>
      </c>
      <c r="G98" s="8" t="inlineStr"/>
      <c r="H98" s="14" t="n"/>
      <c r="I98" s="14" t="n">
        <v>0</v>
      </c>
      <c r="J98" s="15" t="n"/>
      <c r="K98" s="16" t="n"/>
      <c r="L98" s="17">
        <f>IF(AND(J98="",K98=""),"",IF(H98="",K98,J98*H98+K98))</f>
        <v/>
      </c>
      <c r="M98" s="17">
        <f>IF(L98="","",L98-I98)</f>
        <v/>
      </c>
      <c r="N98" s="18" t="n">
        <v>31.5875</v>
      </c>
      <c r="O98" s="19">
        <f>IF(L98="","",L98*N98)</f>
        <v/>
      </c>
      <c r="P98" s="19">
        <f>IF(M98="","",M98*N98)</f>
        <v/>
      </c>
      <c r="Q98" s="8" t="n"/>
      <c r="R98" s="8" t="inlineStr">
        <is>
          <t>Stock a 0</t>
        </is>
      </c>
      <c r="S98" s="9" t="n"/>
    </row>
    <row r="99">
      <c r="A99" s="8" t="n">
        <v>93</v>
      </c>
      <c r="B99" s="8" t="inlineStr">
        <is>
          <t>Matières premières</t>
        </is>
      </c>
      <c r="C99" s="8" t="inlineStr">
        <is>
          <t>Ingrédients &gt; Autre</t>
        </is>
      </c>
      <c r="D99" s="8" t="inlineStr">
        <is>
          <t>Savon liquide pour les mains</t>
        </is>
      </c>
      <c r="E99" s="8" t="inlineStr"/>
      <c r="F99" s="8" t="inlineStr">
        <is>
          <t>unit</t>
        </is>
      </c>
      <c r="G99" s="8" t="inlineStr"/>
      <c r="H99" s="14" t="n"/>
      <c r="I99" s="14" t="n">
        <v>0</v>
      </c>
      <c r="J99" s="15" t="n"/>
      <c r="K99" s="16" t="n"/>
      <c r="L99" s="17">
        <f>IF(AND(J99="",K99=""),"",IF(H99="",K99,J99*H99+K99))</f>
        <v/>
      </c>
      <c r="M99" s="17">
        <f>IF(L99="","",L99-I99)</f>
        <v/>
      </c>
      <c r="N99" s="18" t="n">
        <v>15</v>
      </c>
      <c r="O99" s="19">
        <f>IF(L99="","",L99*N99)</f>
        <v/>
      </c>
      <c r="P99" s="19">
        <f>IF(M99="","",M99*N99)</f>
        <v/>
      </c>
      <c r="Q99" s="8" t="n"/>
      <c r="R99" s="8" t="inlineStr">
        <is>
          <t>En stock</t>
        </is>
      </c>
      <c r="S99" s="9" t="n"/>
    </row>
    <row r="100">
      <c r="A100" s="8" t="n">
        <v>94</v>
      </c>
      <c r="B100" s="8" t="inlineStr">
        <is>
          <t>Matières premières</t>
        </is>
      </c>
      <c r="C100" s="8" t="inlineStr">
        <is>
          <t>Ingrédients &gt; Autre</t>
        </is>
      </c>
      <c r="D100" s="8" t="inlineStr">
        <is>
          <t>Sirop de glucose</t>
        </is>
      </c>
      <c r="E100" s="8" t="inlineStr"/>
      <c r="F100" s="8" t="inlineStr">
        <is>
          <t>g</t>
        </is>
      </c>
      <c r="G100" s="8" t="inlineStr"/>
      <c r="H100" s="14" t="n"/>
      <c r="I100" s="14" t="n">
        <v>0</v>
      </c>
      <c r="J100" s="15" t="n"/>
      <c r="K100" s="16" t="n"/>
      <c r="L100" s="17">
        <f>IF(AND(J100="",K100=""),"",IF(H100="",K100,J100*H100+K100))</f>
        <v/>
      </c>
      <c r="M100" s="17">
        <f>IF(L100="","",L100-I100)</f>
        <v/>
      </c>
      <c r="N100" s="18" t="n">
        <v>0.024</v>
      </c>
      <c r="O100" s="19">
        <f>IF(L100="","",L100*N100)</f>
        <v/>
      </c>
      <c r="P100" s="19">
        <f>IF(M100="","",M100*N100)</f>
        <v/>
      </c>
      <c r="Q100" s="8" t="n"/>
      <c r="R100" s="8" t="inlineStr">
        <is>
          <t>En stock</t>
        </is>
      </c>
      <c r="S100" s="9" t="n"/>
    </row>
    <row r="101">
      <c r="A101" s="8" t="n">
        <v>95</v>
      </c>
      <c r="B101" s="8" t="inlineStr">
        <is>
          <t>Matières premières</t>
        </is>
      </c>
      <c r="C101" s="8" t="inlineStr">
        <is>
          <t>Ingrédients &gt; Autre</t>
        </is>
      </c>
      <c r="D101" s="8" t="inlineStr">
        <is>
          <t>Sofat garoin</t>
        </is>
      </c>
      <c r="E101" s="8" t="inlineStr"/>
      <c r="F101" s="8" t="inlineStr">
        <is>
          <t>kg</t>
        </is>
      </c>
      <c r="G101" s="8" t="inlineStr"/>
      <c r="H101" s="14" t="n"/>
      <c r="I101" s="14" t="n">
        <v>0</v>
      </c>
      <c r="J101" s="15" t="n"/>
      <c r="K101" s="16" t="n"/>
      <c r="L101" s="17">
        <f>IF(AND(J101="",K101=""),"",IF(H101="",K101,J101*H101+K101))</f>
        <v/>
      </c>
      <c r="M101" s="17">
        <f>IF(L101="","",L101-I101)</f>
        <v/>
      </c>
      <c r="N101" s="18" t="n">
        <v>39.166</v>
      </c>
      <c r="O101" s="19">
        <f>IF(L101="","",L101*N101)</f>
        <v/>
      </c>
      <c r="P101" s="19">
        <f>IF(M101="","",M101*N101)</f>
        <v/>
      </c>
      <c r="Q101" s="8" t="n"/>
      <c r="R101" s="8" t="inlineStr">
        <is>
          <t>En stock</t>
        </is>
      </c>
      <c r="S101" s="9" t="n"/>
    </row>
    <row r="102">
      <c r="A102" s="8" t="n">
        <v>96</v>
      </c>
      <c r="B102" s="8" t="inlineStr">
        <is>
          <t>Matières premières</t>
        </is>
      </c>
      <c r="C102" s="8" t="inlineStr">
        <is>
          <t>Ingrédients &gt; Autre</t>
        </is>
      </c>
      <c r="D102" s="8" t="inlineStr">
        <is>
          <t>Sucrrée</t>
        </is>
      </c>
      <c r="E102" s="8" t="inlineStr"/>
      <c r="F102" s="8" t="inlineStr">
        <is>
          <t>unit</t>
        </is>
      </c>
      <c r="G102" s="8" t="inlineStr"/>
      <c r="H102" s="14" t="n"/>
      <c r="I102" s="14" t="n">
        <v>0</v>
      </c>
      <c r="J102" s="15" t="n"/>
      <c r="K102" s="16" t="n"/>
      <c r="L102" s="17">
        <f>IF(AND(J102="",K102=""),"",IF(H102="",K102,J102*H102+K102))</f>
        <v/>
      </c>
      <c r="M102" s="17">
        <f>IF(L102="","",L102-I102)</f>
        <v/>
      </c>
      <c r="N102" s="18" t="n">
        <v>15</v>
      </c>
      <c r="O102" s="19">
        <f>IF(L102="","",L102*N102)</f>
        <v/>
      </c>
      <c r="P102" s="19">
        <f>IF(M102="","",M102*N102)</f>
        <v/>
      </c>
      <c r="Q102" s="8" t="n"/>
      <c r="R102" s="8" t="inlineStr">
        <is>
          <t>En stock</t>
        </is>
      </c>
      <c r="S102" s="9" t="n"/>
    </row>
    <row r="103">
      <c r="A103" s="8" t="n">
        <v>97</v>
      </c>
      <c r="B103" s="8" t="inlineStr">
        <is>
          <t>Matières premières</t>
        </is>
      </c>
      <c r="C103" s="8" t="inlineStr">
        <is>
          <t>Ingrédients &gt; Autre</t>
        </is>
      </c>
      <c r="D103" s="8" t="inlineStr">
        <is>
          <t>Sésame blan</t>
        </is>
      </c>
      <c r="E103" s="8" t="inlineStr"/>
      <c r="F103" s="8" t="inlineStr">
        <is>
          <t>kg</t>
        </is>
      </c>
      <c r="G103" s="8" t="inlineStr"/>
      <c r="H103" s="14" t="n"/>
      <c r="I103" s="14" t="n">
        <v>0</v>
      </c>
      <c r="J103" s="15" t="n"/>
      <c r="K103" s="16" t="n"/>
      <c r="L103" s="17">
        <f>IF(AND(J103="",K103=""),"",IF(H103="",K103,J103*H103+K103))</f>
        <v/>
      </c>
      <c r="M103" s="17">
        <f>IF(L103="","",L103-I103)</f>
        <v/>
      </c>
      <c r="N103" s="18" t="n">
        <v>48</v>
      </c>
      <c r="O103" s="19">
        <f>IF(L103="","",L103*N103)</f>
        <v/>
      </c>
      <c r="P103" s="19">
        <f>IF(M103="","",M103*N103)</f>
        <v/>
      </c>
      <c r="Q103" s="8" t="n"/>
      <c r="R103" s="8" t="inlineStr">
        <is>
          <t>Stock a 0</t>
        </is>
      </c>
      <c r="S103" s="9" t="n"/>
    </row>
    <row r="104">
      <c r="A104" s="8" t="n">
        <v>98</v>
      </c>
      <c r="B104" s="8" t="inlineStr">
        <is>
          <t>Matières premières</t>
        </is>
      </c>
      <c r="C104" s="8" t="inlineStr">
        <is>
          <t>Ingrédients &gt; Autre</t>
        </is>
      </c>
      <c r="D104" s="8" t="inlineStr">
        <is>
          <t>TABLETTE SIGNATURE BLANC</t>
        </is>
      </c>
      <c r="E104" s="8" t="inlineStr"/>
      <c r="F104" s="8" t="inlineStr">
        <is>
          <t>kg</t>
        </is>
      </c>
      <c r="G104" s="8" t="inlineStr"/>
      <c r="H104" s="14" t="n"/>
      <c r="I104" s="14" t="n">
        <v>0</v>
      </c>
      <c r="J104" s="15" t="n"/>
      <c r="K104" s="16" t="n"/>
      <c r="L104" s="17">
        <f>IF(AND(J104="",K104=""),"",IF(H104="",K104,J104*H104+K104))</f>
        <v/>
      </c>
      <c r="M104" s="17">
        <f>IF(L104="","",L104-I104)</f>
        <v/>
      </c>
      <c r="N104" s="18" t="n">
        <v>35.72</v>
      </c>
      <c r="O104" s="19">
        <f>IF(L104="","",L104*N104)</f>
        <v/>
      </c>
      <c r="P104" s="19">
        <f>IF(M104="","",M104*N104)</f>
        <v/>
      </c>
      <c r="Q104" s="8" t="n"/>
      <c r="R104" s="8" t="inlineStr">
        <is>
          <t>Stock a 0</t>
        </is>
      </c>
      <c r="S104" s="9" t="n"/>
    </row>
    <row r="105">
      <c r="A105" s="8" t="n">
        <v>99</v>
      </c>
      <c r="B105" s="8" t="inlineStr">
        <is>
          <t>Matières premières</t>
        </is>
      </c>
      <c r="C105" s="8" t="inlineStr">
        <is>
          <t>Ingrédients &gt; Autre</t>
        </is>
      </c>
      <c r="D105" s="8" t="inlineStr">
        <is>
          <t>Tegral multigrain</t>
        </is>
      </c>
      <c r="E105" s="8" t="inlineStr"/>
      <c r="F105" s="8" t="inlineStr">
        <is>
          <t>kg</t>
        </is>
      </c>
      <c r="G105" s="8" t="inlineStr"/>
      <c r="H105" s="14" t="n"/>
      <c r="I105" s="14" t="n">
        <v>0</v>
      </c>
      <c r="J105" s="15" t="n"/>
      <c r="K105" s="16" t="n"/>
      <c r="L105" s="17">
        <f>IF(AND(J105="",K105=""),"",IF(H105="",K105,J105*H105+K105))</f>
        <v/>
      </c>
      <c r="M105" s="17">
        <f>IF(L105="","",L105-I105)</f>
        <v/>
      </c>
      <c r="N105" s="18" t="n">
        <v>12.408</v>
      </c>
      <c r="O105" s="19">
        <f>IF(L105="","",L105*N105)</f>
        <v/>
      </c>
      <c r="P105" s="19">
        <f>IF(M105="","",M105*N105)</f>
        <v/>
      </c>
      <c r="Q105" s="8" t="n"/>
      <c r="R105" s="8" t="inlineStr">
        <is>
          <t>En stock</t>
        </is>
      </c>
      <c r="S105" s="9" t="n"/>
    </row>
    <row r="106">
      <c r="A106" s="8" t="n">
        <v>100</v>
      </c>
      <c r="B106" s="8" t="inlineStr">
        <is>
          <t>Matières premières</t>
        </is>
      </c>
      <c r="C106" s="8" t="inlineStr">
        <is>
          <t>Ingrédients &gt; Autre</t>
        </is>
      </c>
      <c r="D106" s="8" t="inlineStr">
        <is>
          <t>Thym</t>
        </is>
      </c>
      <c r="E106" s="8" t="inlineStr"/>
      <c r="F106" s="8" t="inlineStr">
        <is>
          <t>kg</t>
        </is>
      </c>
      <c r="G106" s="8" t="inlineStr"/>
      <c r="H106" s="14" t="n"/>
      <c r="I106" s="14" t="n">
        <v>0</v>
      </c>
      <c r="J106" s="15" t="n"/>
      <c r="K106" s="16" t="n"/>
      <c r="L106" s="17">
        <f>IF(AND(J106="",K106=""),"",IF(H106="",K106,J106*H106+K106))</f>
        <v/>
      </c>
      <c r="M106" s="17">
        <f>IF(L106="","",L106-I106)</f>
        <v/>
      </c>
      <c r="N106" s="18" t="n">
        <v>116</v>
      </c>
      <c r="O106" s="19">
        <f>IF(L106="","",L106*N106)</f>
        <v/>
      </c>
      <c r="P106" s="19">
        <f>IF(M106="","",M106*N106)</f>
        <v/>
      </c>
      <c r="Q106" s="8" t="n"/>
      <c r="R106" s="8" t="inlineStr">
        <is>
          <t>Jamais recu</t>
        </is>
      </c>
      <c r="S106" s="9" t="n"/>
    </row>
    <row r="107">
      <c r="A107" s="8" t="n">
        <v>101</v>
      </c>
      <c r="B107" s="8" t="inlineStr">
        <is>
          <t>Matières premières</t>
        </is>
      </c>
      <c r="C107" s="8" t="inlineStr">
        <is>
          <t>Ingrédients &gt; Autre</t>
        </is>
      </c>
      <c r="D107" s="8" t="inlineStr">
        <is>
          <t>Thé vert</t>
        </is>
      </c>
      <c r="E107" s="8" t="inlineStr"/>
      <c r="F107" s="8" t="inlineStr">
        <is>
          <t>unit</t>
        </is>
      </c>
      <c r="G107" s="8" t="inlineStr"/>
      <c r="H107" s="14" t="n"/>
      <c r="I107" s="14" t="n">
        <v>0</v>
      </c>
      <c r="J107" s="15" t="n"/>
      <c r="K107" s="16" t="n"/>
      <c r="L107" s="17">
        <f>IF(AND(J107="",K107=""),"",IF(H107="",K107,J107*H107+K107))</f>
        <v/>
      </c>
      <c r="M107" s="17">
        <f>IF(L107="","",L107-I107)</f>
        <v/>
      </c>
      <c r="N107" s="18" t="n">
        <v>20</v>
      </c>
      <c r="O107" s="19">
        <f>IF(L107="","",L107*N107)</f>
        <v/>
      </c>
      <c r="P107" s="19">
        <f>IF(M107="","",M107*N107)</f>
        <v/>
      </c>
      <c r="Q107" s="8" t="n"/>
      <c r="R107" s="8" t="inlineStr">
        <is>
          <t>En stock</t>
        </is>
      </c>
      <c r="S107" s="9" t="n"/>
    </row>
    <row r="108">
      <c r="A108" s="8" t="n">
        <v>102</v>
      </c>
      <c r="B108" s="8" t="inlineStr">
        <is>
          <t>Matières premières</t>
        </is>
      </c>
      <c r="C108" s="8" t="inlineStr">
        <is>
          <t>Ingrédients &gt; Autre</t>
        </is>
      </c>
      <c r="D108" s="8" t="inlineStr">
        <is>
          <t>Topper</t>
        </is>
      </c>
      <c r="E108" s="8" t="inlineStr"/>
      <c r="F108" s="8" t="inlineStr">
        <is>
          <t>unit</t>
        </is>
      </c>
      <c r="G108" s="8" t="inlineStr"/>
      <c r="H108" s="14" t="n"/>
      <c r="I108" s="14" t="n">
        <v>0</v>
      </c>
      <c r="J108" s="15" t="n"/>
      <c r="K108" s="16" t="n"/>
      <c r="L108" s="17">
        <f>IF(AND(J108="",K108=""),"",IF(H108="",K108,J108*H108+K108))</f>
        <v/>
      </c>
      <c r="M108" s="17">
        <f>IF(L108="","",L108-I108)</f>
        <v/>
      </c>
      <c r="N108" s="18" t="n">
        <v>10</v>
      </c>
      <c r="O108" s="19">
        <f>IF(L108="","",L108*N108)</f>
        <v/>
      </c>
      <c r="P108" s="19">
        <f>IF(M108="","",M108*N108)</f>
        <v/>
      </c>
      <c r="Q108" s="8" t="n"/>
      <c r="R108" s="8" t="inlineStr">
        <is>
          <t>En stock</t>
        </is>
      </c>
      <c r="S108" s="9" t="n"/>
    </row>
    <row r="109">
      <c r="A109" s="8" t="n">
        <v>103</v>
      </c>
      <c r="B109" s="8" t="inlineStr">
        <is>
          <t>Matières premières</t>
        </is>
      </c>
      <c r="C109" s="8" t="inlineStr">
        <is>
          <t>Ingrédients &gt; Autre</t>
        </is>
      </c>
      <c r="D109" s="8" t="inlineStr">
        <is>
          <t>Trablit</t>
        </is>
      </c>
      <c r="E109" s="8" t="inlineStr"/>
      <c r="F109" s="8" t="inlineStr">
        <is>
          <t>kg</t>
        </is>
      </c>
      <c r="G109" s="8" t="inlineStr"/>
      <c r="H109" s="14" t="n"/>
      <c r="I109" s="14" t="n">
        <v>0</v>
      </c>
      <c r="J109" s="15" t="n"/>
      <c r="K109" s="16" t="n"/>
      <c r="L109" s="17">
        <f>IF(AND(J109="",K109=""),"",IF(H109="",K109,J109*H109+K109))</f>
        <v/>
      </c>
      <c r="M109" s="17">
        <f>IF(L109="","",L109-I109)</f>
        <v/>
      </c>
      <c r="N109" s="18" t="n">
        <v>0</v>
      </c>
      <c r="O109" s="19">
        <f>IF(L109="","",L109*N109)</f>
        <v/>
      </c>
      <c r="P109" s="19">
        <f>IF(M109="","",M109*N109)</f>
        <v/>
      </c>
      <c r="Q109" s="8" t="n"/>
      <c r="R109" s="8" t="inlineStr">
        <is>
          <t>Jamais recu</t>
        </is>
      </c>
      <c r="S109" s="9" t="n"/>
    </row>
    <row r="110">
      <c r="A110" s="8" t="n">
        <v>104</v>
      </c>
      <c r="B110" s="8" t="inlineStr">
        <is>
          <t>Matières premières</t>
        </is>
      </c>
      <c r="C110" s="8" t="inlineStr">
        <is>
          <t>Ingrédients &gt; Autre</t>
        </is>
      </c>
      <c r="D110" s="8" t="inlineStr">
        <is>
          <t>Trablit</t>
        </is>
      </c>
      <c r="E110" s="8" t="inlineStr"/>
      <c r="F110" s="8" t="inlineStr">
        <is>
          <t>l</t>
        </is>
      </c>
      <c r="G110" s="8" t="inlineStr"/>
      <c r="H110" s="14" t="n"/>
      <c r="I110" s="14" t="n">
        <v>0</v>
      </c>
      <c r="J110" s="15" t="n"/>
      <c r="K110" s="16" t="n"/>
      <c r="L110" s="17">
        <f>IF(AND(J110="",K110=""),"",IF(H110="",K110,J110*H110+K110))</f>
        <v/>
      </c>
      <c r="M110" s="17">
        <f>IF(L110="","",L110-I110)</f>
        <v/>
      </c>
      <c r="N110" s="18" t="n">
        <v>360</v>
      </c>
      <c r="O110" s="19">
        <f>IF(L110="","",L110*N110)</f>
        <v/>
      </c>
      <c r="P110" s="19">
        <f>IF(M110="","",M110*N110)</f>
        <v/>
      </c>
      <c r="Q110" s="8" t="n"/>
      <c r="R110" s="8" t="inlineStr">
        <is>
          <t>En stock</t>
        </is>
      </c>
      <c r="S110" s="9" t="n"/>
    </row>
    <row r="111">
      <c r="A111" s="8" t="n">
        <v>105</v>
      </c>
      <c r="B111" s="8" t="inlineStr">
        <is>
          <t>Matières premières</t>
        </is>
      </c>
      <c r="C111" s="8" t="inlineStr">
        <is>
          <t>Ingrédients &gt; Autre</t>
        </is>
      </c>
      <c r="D111" s="8" t="inlineStr">
        <is>
          <t>Vanille poudre</t>
        </is>
      </c>
      <c r="E111" s="8" t="inlineStr"/>
      <c r="F111" s="8" t="inlineStr">
        <is>
          <t>kg</t>
        </is>
      </c>
      <c r="G111" s="8" t="inlineStr"/>
      <c r="H111" s="14" t="n"/>
      <c r="I111" s="14" t="n">
        <v>0</v>
      </c>
      <c r="J111" s="15" t="n"/>
      <c r="K111" s="16" t="n"/>
      <c r="L111" s="17">
        <f>IF(AND(J111="",K111=""),"",IF(H111="",K111,J111*H111+K111))</f>
        <v/>
      </c>
      <c r="M111" s="17">
        <f>IF(L111="","",L111-I111)</f>
        <v/>
      </c>
      <c r="N111" s="18" t="n">
        <v>135</v>
      </c>
      <c r="O111" s="19">
        <f>IF(L111="","",L111*N111)</f>
        <v/>
      </c>
      <c r="P111" s="19">
        <f>IF(M111="","",M111*N111)</f>
        <v/>
      </c>
      <c r="Q111" s="8" t="n"/>
      <c r="R111" s="8" t="inlineStr">
        <is>
          <t>En stock</t>
        </is>
      </c>
      <c r="S111" s="9" t="n"/>
    </row>
    <row r="112">
      <c r="A112" s="8" t="n">
        <v>106</v>
      </c>
      <c r="B112" s="8" t="inlineStr">
        <is>
          <t>Matières premières</t>
        </is>
      </c>
      <c r="C112" s="8" t="inlineStr">
        <is>
          <t>Ingrédients &gt; Autre</t>
        </is>
      </c>
      <c r="D112" s="8" t="inlineStr">
        <is>
          <t>Vermicelles chinois</t>
        </is>
      </c>
      <c r="E112" s="8" t="inlineStr"/>
      <c r="F112" s="8" t="inlineStr">
        <is>
          <t>unit</t>
        </is>
      </c>
      <c r="G112" s="8" t="inlineStr"/>
      <c r="H112" s="14" t="n"/>
      <c r="I112" s="14" t="n">
        <v>0</v>
      </c>
      <c r="J112" s="15" t="n"/>
      <c r="K112" s="16" t="n"/>
      <c r="L112" s="17">
        <f>IF(AND(J112="",K112=""),"",IF(H112="",K112,J112*H112+K112))</f>
        <v/>
      </c>
      <c r="M112" s="17">
        <f>IF(L112="","",L112-I112)</f>
        <v/>
      </c>
      <c r="N112" s="18" t="n">
        <v>7</v>
      </c>
      <c r="O112" s="19">
        <f>IF(L112="","",L112*N112)</f>
        <v/>
      </c>
      <c r="P112" s="19">
        <f>IF(M112="","",M112*N112)</f>
        <v/>
      </c>
      <c r="Q112" s="8" t="n"/>
      <c r="R112" s="8" t="inlineStr">
        <is>
          <t>En stock</t>
        </is>
      </c>
      <c r="S112" s="9" t="n"/>
    </row>
    <row r="113">
      <c r="A113" s="8" t="n">
        <v>107</v>
      </c>
      <c r="B113" s="8" t="inlineStr">
        <is>
          <t>Matières premières</t>
        </is>
      </c>
      <c r="C113" s="8" t="inlineStr">
        <is>
          <t>Ingrédients &gt; Autre</t>
        </is>
      </c>
      <c r="D113" s="8" t="inlineStr">
        <is>
          <t>Épices pour poisson</t>
        </is>
      </c>
      <c r="E113" s="8" t="inlineStr"/>
      <c r="F113" s="8" t="inlineStr">
        <is>
          <t>g</t>
        </is>
      </c>
      <c r="G113" s="8" t="inlineStr"/>
      <c r="H113" s="14" t="n"/>
      <c r="I113" s="14" t="n">
        <v>0</v>
      </c>
      <c r="J113" s="15" t="n"/>
      <c r="K113" s="16" t="n"/>
      <c r="L113" s="17">
        <f>IF(AND(J113="",K113=""),"",IF(H113="",K113,J113*H113+K113))</f>
        <v/>
      </c>
      <c r="M113" s="17">
        <f>IF(L113="","",L113-I113)</f>
        <v/>
      </c>
      <c r="N113" s="18" t="n">
        <v>0.334</v>
      </c>
      <c r="O113" s="19">
        <f>IF(L113="","",L113*N113)</f>
        <v/>
      </c>
      <c r="P113" s="19">
        <f>IF(M113="","",M113*N113)</f>
        <v/>
      </c>
      <c r="Q113" s="8" t="n"/>
      <c r="R113" s="8" t="inlineStr">
        <is>
          <t>En stock</t>
        </is>
      </c>
      <c r="S113" s="9" t="n"/>
    </row>
    <row r="114">
      <c r="A114" s="8" t="n">
        <v>108</v>
      </c>
      <c r="B114" s="8" t="inlineStr">
        <is>
          <t>Matières premières</t>
        </is>
      </c>
      <c r="C114" s="8" t="inlineStr">
        <is>
          <t>Ingrédients &gt; Beurre &amp; Margarines</t>
        </is>
      </c>
      <c r="D114" s="8" t="inlineStr">
        <is>
          <t>Beurre</t>
        </is>
      </c>
      <c r="E114" s="8" t="inlineStr"/>
      <c r="F114" s="8" t="inlineStr">
        <is>
          <t>kg</t>
        </is>
      </c>
      <c r="G114" s="8" t="inlineStr"/>
      <c r="H114" s="14" t="n"/>
      <c r="I114" s="14" t="n">
        <v>0</v>
      </c>
      <c r="J114" s="15" t="n"/>
      <c r="K114" s="16" t="n"/>
      <c r="L114" s="17">
        <f>IF(AND(J114="",K114=""),"",IF(H114="",K114,J114*H114+K114))</f>
        <v/>
      </c>
      <c r="M114" s="17">
        <f>IF(L114="","",L114-I114)</f>
        <v/>
      </c>
      <c r="N114" s="18" t="n">
        <v>57</v>
      </c>
      <c r="O114" s="19">
        <f>IF(L114="","",L114*N114)</f>
        <v/>
      </c>
      <c r="P114" s="19">
        <f>IF(M114="","",M114*N114)</f>
        <v/>
      </c>
      <c r="Q114" s="8" t="n"/>
      <c r="R114" s="8" t="inlineStr">
        <is>
          <t>En stock</t>
        </is>
      </c>
      <c r="S114" s="9" t="n"/>
    </row>
    <row r="115">
      <c r="A115" s="8" t="n">
        <v>109</v>
      </c>
      <c r="B115" s="8" t="inlineStr">
        <is>
          <t>Matières premières</t>
        </is>
      </c>
      <c r="C115" s="8" t="inlineStr">
        <is>
          <t>Ingrédients &gt; Beurre &amp; Margarines</t>
        </is>
      </c>
      <c r="D115" s="8" t="inlineStr">
        <is>
          <t>Beurre de cacao</t>
        </is>
      </c>
      <c r="E115" s="8" t="inlineStr"/>
      <c r="F115" s="8" t="inlineStr">
        <is>
          <t>unit</t>
        </is>
      </c>
      <c r="G115" s="8" t="inlineStr"/>
      <c r="H115" s="14" t="n"/>
      <c r="I115" s="14" t="n">
        <v>0</v>
      </c>
      <c r="J115" s="15" t="n"/>
      <c r="K115" s="16" t="n"/>
      <c r="L115" s="17">
        <f>IF(AND(J115="",K115=""),"",IF(H115="",K115,J115*H115+K115))</f>
        <v/>
      </c>
      <c r="M115" s="17">
        <f>IF(L115="","",L115-I115)</f>
        <v/>
      </c>
      <c r="N115" s="18" t="n">
        <v>724.62</v>
      </c>
      <c r="O115" s="19">
        <f>IF(L115="","",L115*N115)</f>
        <v/>
      </c>
      <c r="P115" s="19">
        <f>IF(M115="","",M115*N115)</f>
        <v/>
      </c>
      <c r="Q115" s="8" t="n"/>
      <c r="R115" s="8" t="inlineStr">
        <is>
          <t>Stock a 0</t>
        </is>
      </c>
      <c r="S115" s="9" t="n"/>
    </row>
    <row r="116">
      <c r="A116" s="8" t="n">
        <v>110</v>
      </c>
      <c r="B116" s="8" t="inlineStr">
        <is>
          <t>Matières premières</t>
        </is>
      </c>
      <c r="C116" s="8" t="inlineStr">
        <is>
          <t>Ingrédients &gt; Beurre &amp; Margarines</t>
        </is>
      </c>
      <c r="D116" s="8" t="inlineStr">
        <is>
          <t>Margarine atlas</t>
        </is>
      </c>
      <c r="E116" s="8" t="inlineStr"/>
      <c r="F116" s="8" t="inlineStr">
        <is>
          <t>kg</t>
        </is>
      </c>
      <c r="G116" s="8" t="inlineStr"/>
      <c r="H116" s="14" t="n"/>
      <c r="I116" s="14" t="n">
        <v>0</v>
      </c>
      <c r="J116" s="15" t="n"/>
      <c r="K116" s="16" t="n"/>
      <c r="L116" s="17">
        <f>IF(AND(J116="",K116=""),"",IF(H116="",K116,J116*H116+K116))</f>
        <v/>
      </c>
      <c r="M116" s="17">
        <f>IF(L116="","",L116-I116)</f>
        <v/>
      </c>
      <c r="N116" s="18" t="n">
        <v>17.5</v>
      </c>
      <c r="O116" s="19">
        <f>IF(L116="","",L116*N116)</f>
        <v/>
      </c>
      <c r="P116" s="19">
        <f>IF(M116="","",M116*N116)</f>
        <v/>
      </c>
      <c r="Q116" s="8" t="n"/>
      <c r="R116" s="8" t="inlineStr">
        <is>
          <t>En stock</t>
        </is>
      </c>
      <c r="S116" s="9" t="n"/>
    </row>
    <row r="117">
      <c r="A117" s="8" t="n">
        <v>111</v>
      </c>
      <c r="B117" s="8" t="inlineStr">
        <is>
          <t>Matières premières</t>
        </is>
      </c>
      <c r="C117" s="8" t="inlineStr">
        <is>
          <t>Ingrédients &gt; Biscuit</t>
        </is>
      </c>
      <c r="D117" s="8" t="inlineStr">
        <is>
          <t>Lotus</t>
        </is>
      </c>
      <c r="E117" s="8" t="inlineStr"/>
      <c r="F117" s="8" t="inlineStr">
        <is>
          <t>unit</t>
        </is>
      </c>
      <c r="G117" s="8" t="inlineStr"/>
      <c r="H117" s="14" t="n"/>
      <c r="I117" s="14" t="n">
        <v>0</v>
      </c>
      <c r="J117" s="15" t="n"/>
      <c r="K117" s="16" t="n"/>
      <c r="L117" s="17">
        <f>IF(AND(J117="",K117=""),"",IF(H117="",K117,J117*H117+K117))</f>
        <v/>
      </c>
      <c r="M117" s="17">
        <f>IF(L117="","",L117-I117)</f>
        <v/>
      </c>
      <c r="N117" s="18" t="n">
        <v>27.5</v>
      </c>
      <c r="O117" s="19">
        <f>IF(L117="","",L117*N117)</f>
        <v/>
      </c>
      <c r="P117" s="19">
        <f>IF(M117="","",M117*N117)</f>
        <v/>
      </c>
      <c r="Q117" s="8" t="n"/>
      <c r="R117" s="8" t="inlineStr">
        <is>
          <t>Stock a 0</t>
        </is>
      </c>
      <c r="S117" s="9" t="n"/>
    </row>
    <row r="118">
      <c r="A118" s="8" t="n">
        <v>112</v>
      </c>
      <c r="B118" s="8" t="inlineStr">
        <is>
          <t>Matières premières</t>
        </is>
      </c>
      <c r="C118" s="8" t="inlineStr">
        <is>
          <t>Ingrédients &gt; Biscuit</t>
        </is>
      </c>
      <c r="D118" s="8" t="inlineStr">
        <is>
          <t>Oreo</t>
        </is>
      </c>
      <c r="E118" s="8" t="inlineStr"/>
      <c r="F118" s="8" t="inlineStr">
        <is>
          <t>unit</t>
        </is>
      </c>
      <c r="G118" s="8" t="inlineStr"/>
      <c r="H118" s="14" t="n"/>
      <c r="I118" s="14" t="n">
        <v>0</v>
      </c>
      <c r="J118" s="15" t="n"/>
      <c r="K118" s="16" t="n"/>
      <c r="L118" s="17">
        <f>IF(AND(J118="",K118=""),"",IF(H118="",K118,J118*H118+K118))</f>
        <v/>
      </c>
      <c r="M118" s="17">
        <f>IF(L118="","",L118-I118)</f>
        <v/>
      </c>
      <c r="N118" s="18" t="n">
        <v>3.5</v>
      </c>
      <c r="O118" s="19">
        <f>IF(L118="","",L118*N118)</f>
        <v/>
      </c>
      <c r="P118" s="19">
        <f>IF(M118="","",M118*N118)</f>
        <v/>
      </c>
      <c r="Q118" s="8" t="n"/>
      <c r="R118" s="8" t="inlineStr">
        <is>
          <t>En stock</t>
        </is>
      </c>
      <c r="S118" s="9" t="n"/>
    </row>
    <row r="119">
      <c r="A119" s="8" t="n">
        <v>113</v>
      </c>
      <c r="B119" s="8" t="inlineStr">
        <is>
          <t>Matières premières</t>
        </is>
      </c>
      <c r="C119" s="8" t="inlineStr">
        <is>
          <t>Ingrédients &gt; Biscuit</t>
        </is>
      </c>
      <c r="D119" s="8" t="inlineStr">
        <is>
          <t>Spéculoos</t>
        </is>
      </c>
      <c r="E119" s="8" t="inlineStr"/>
      <c r="F119" s="8" t="inlineStr">
        <is>
          <t>g</t>
        </is>
      </c>
      <c r="G119" s="8" t="inlineStr"/>
      <c r="H119" s="14" t="n"/>
      <c r="I119" s="14" t="n">
        <v>0</v>
      </c>
      <c r="J119" s="15" t="n"/>
      <c r="K119" s="16" t="n"/>
      <c r="L119" s="17">
        <f>IF(AND(J119="",K119=""),"",IF(H119="",K119,J119*H119+K119))</f>
        <v/>
      </c>
      <c r="M119" s="17">
        <f>IF(L119="","",L119-I119)</f>
        <v/>
      </c>
      <c r="N119" s="18" t="n">
        <v>0</v>
      </c>
      <c r="O119" s="19">
        <f>IF(L119="","",L119*N119)</f>
        <v/>
      </c>
      <c r="P119" s="19">
        <f>IF(M119="","",M119*N119)</f>
        <v/>
      </c>
      <c r="Q119" s="8" t="n"/>
      <c r="R119" s="8" t="inlineStr">
        <is>
          <t>Jamais recu</t>
        </is>
      </c>
      <c r="S119" s="9" t="n"/>
    </row>
    <row r="120">
      <c r="A120" s="8" t="n">
        <v>114</v>
      </c>
      <c r="B120" s="8" t="inlineStr">
        <is>
          <t>Matières premières</t>
        </is>
      </c>
      <c r="C120" s="8" t="inlineStr">
        <is>
          <t>Ingrédients &gt; Chocolat</t>
        </is>
      </c>
      <c r="D120" s="8" t="inlineStr">
        <is>
          <t>500 batons boulangers DGF</t>
        </is>
      </c>
      <c r="E120" s="8" t="inlineStr"/>
      <c r="F120" s="8" t="inlineStr">
        <is>
          <t>unit</t>
        </is>
      </c>
      <c r="G120" s="8" t="inlineStr"/>
      <c r="H120" s="14" t="n"/>
      <c r="I120" s="14" t="n">
        <v>0</v>
      </c>
      <c r="J120" s="15" t="n"/>
      <c r="K120" s="16" t="n"/>
      <c r="L120" s="17">
        <f>IF(AND(J120="",K120=""),"",IF(H120="",K120,J120*H120+K120))</f>
        <v/>
      </c>
      <c r="M120" s="17">
        <f>IF(L120="","",L120-I120)</f>
        <v/>
      </c>
      <c r="N120" s="18" t="n">
        <v>147.5</v>
      </c>
      <c r="O120" s="19">
        <f>IF(L120="","",L120*N120)</f>
        <v/>
      </c>
      <c r="P120" s="19">
        <f>IF(M120="","",M120*N120)</f>
        <v/>
      </c>
      <c r="Q120" s="8" t="n"/>
      <c r="R120" s="8" t="inlineStr">
        <is>
          <t>En stock</t>
        </is>
      </c>
      <c r="S120" s="9" t="n"/>
    </row>
    <row r="121">
      <c r="A121" s="8" t="n">
        <v>115</v>
      </c>
      <c r="B121" s="8" t="inlineStr">
        <is>
          <t>Matières premières</t>
        </is>
      </c>
      <c r="C121" s="8" t="inlineStr">
        <is>
          <t>Ingrédients &gt; Chocolat</t>
        </is>
      </c>
      <c r="D121" s="8" t="inlineStr">
        <is>
          <t>Batons boulangers DGF 500</t>
        </is>
      </c>
      <c r="E121" s="8" t="inlineStr"/>
      <c r="F121" s="8" t="inlineStr">
        <is>
          <t>unit</t>
        </is>
      </c>
      <c r="G121" s="8" t="inlineStr"/>
      <c r="H121" s="14" t="n"/>
      <c r="I121" s="14" t="n">
        <v>0</v>
      </c>
      <c r="J121" s="15" t="n"/>
      <c r="K121" s="16" t="n"/>
      <c r="L121" s="17">
        <f>IF(AND(J121="",K121=""),"",IF(H121="",K121,J121*H121+K121))</f>
        <v/>
      </c>
      <c r="M121" s="17">
        <f>IF(L121="","",L121-I121)</f>
        <v/>
      </c>
      <c r="N121" s="18" t="n">
        <v>0</v>
      </c>
      <c r="O121" s="19">
        <f>IF(L121="","",L121*N121)</f>
        <v/>
      </c>
      <c r="P121" s="19">
        <f>IF(M121="","",M121*N121)</f>
        <v/>
      </c>
      <c r="Q121" s="8" t="n"/>
      <c r="R121" s="8" t="inlineStr">
        <is>
          <t>Jamais recu</t>
        </is>
      </c>
      <c r="S121" s="9" t="n"/>
    </row>
    <row r="122">
      <c r="A122" s="8" t="n">
        <v>116</v>
      </c>
      <c r="B122" s="8" t="inlineStr">
        <is>
          <t>Matières premières</t>
        </is>
      </c>
      <c r="C122" s="8" t="inlineStr">
        <is>
          <t>Ingrédients &gt; Chocolat</t>
        </is>
      </c>
      <c r="D122" s="8" t="inlineStr">
        <is>
          <t>Beurre de cacao</t>
        </is>
      </c>
      <c r="E122" s="8" t="inlineStr">
        <is>
          <t>Ecomab</t>
        </is>
      </c>
      <c r="F122" s="8" t="inlineStr">
        <is>
          <t>kg</t>
        </is>
      </c>
      <c r="G122" s="8" t="inlineStr"/>
      <c r="H122" s="14" t="n"/>
      <c r="I122" s="14" t="n">
        <v>0</v>
      </c>
      <c r="J122" s="15" t="n"/>
      <c r="K122" s="16" t="n"/>
      <c r="L122" s="17">
        <f>IF(AND(J122="",K122=""),"",IF(H122="",K122,J122*H122+K122))</f>
        <v/>
      </c>
      <c r="M122" s="17">
        <f>IF(L122="","",L122-I122)</f>
        <v/>
      </c>
      <c r="N122" s="18" t="n">
        <v>289.6</v>
      </c>
      <c r="O122" s="19">
        <f>IF(L122="","",L122*N122)</f>
        <v/>
      </c>
      <c r="P122" s="19">
        <f>IF(M122="","",M122*N122)</f>
        <v/>
      </c>
      <c r="Q122" s="8" t="n"/>
      <c r="R122" s="8" t="inlineStr">
        <is>
          <t>En stock</t>
        </is>
      </c>
      <c r="S122" s="9" t="n"/>
    </row>
    <row r="123">
      <c r="A123" s="8" t="n">
        <v>117</v>
      </c>
      <c r="B123" s="8" t="inlineStr">
        <is>
          <t>Matières premières</t>
        </is>
      </c>
      <c r="C123" s="8" t="inlineStr">
        <is>
          <t>Ingrédients &gt; Chocolat</t>
        </is>
      </c>
      <c r="D123" s="8" t="inlineStr">
        <is>
          <t>Beurre de cacao chocovic</t>
        </is>
      </c>
      <c r="E123" s="8" t="inlineStr"/>
      <c r="F123" s="8" t="inlineStr">
        <is>
          <t>kg</t>
        </is>
      </c>
      <c r="G123" s="8" t="inlineStr"/>
      <c r="H123" s="14" t="n"/>
      <c r="I123" s="14" t="n">
        <v>0</v>
      </c>
      <c r="J123" s="15" t="n"/>
      <c r="K123" s="16" t="n"/>
      <c r="L123" s="17">
        <f>IF(AND(J123="",K123=""),"",IF(H123="",K123,J123*H123+K123))</f>
        <v/>
      </c>
      <c r="M123" s="17">
        <f>IF(L123="","",L123-I123)</f>
        <v/>
      </c>
      <c r="N123" s="18" t="n">
        <v>241.54</v>
      </c>
      <c r="O123" s="19">
        <f>IF(L123="","",L123*N123)</f>
        <v/>
      </c>
      <c r="P123" s="19">
        <f>IF(M123="","",M123*N123)</f>
        <v/>
      </c>
      <c r="Q123" s="8" t="n"/>
      <c r="R123" s="8" t="inlineStr">
        <is>
          <t>En stock</t>
        </is>
      </c>
      <c r="S123" s="9" t="n"/>
    </row>
    <row r="124">
      <c r="A124" s="8" t="n">
        <v>118</v>
      </c>
      <c r="B124" s="8" t="inlineStr">
        <is>
          <t>Matières premières</t>
        </is>
      </c>
      <c r="C124" s="8" t="inlineStr">
        <is>
          <t>Ingrédients &gt; Chocolat</t>
        </is>
      </c>
      <c r="D124" s="8" t="inlineStr">
        <is>
          <t>CHOCOLAT BLAN DGF</t>
        </is>
      </c>
      <c r="E124" s="8" t="inlineStr"/>
      <c r="F124" s="8" t="inlineStr">
        <is>
          <t>kg</t>
        </is>
      </c>
      <c r="G124" s="8" t="inlineStr"/>
      <c r="H124" s="14" t="n"/>
      <c r="I124" s="14" t="n">
        <v>0</v>
      </c>
      <c r="J124" s="15" t="n"/>
      <c r="K124" s="16" t="n"/>
      <c r="L124" s="17">
        <f>IF(AND(J124="",K124=""),"",IF(H124="",K124,J124*H124+K124))</f>
        <v/>
      </c>
      <c r="M124" s="17">
        <f>IF(L124="","",L124-I124)</f>
        <v/>
      </c>
      <c r="N124" s="18" t="n">
        <v>107.5</v>
      </c>
      <c r="O124" s="19">
        <f>IF(L124="","",L124*N124)</f>
        <v/>
      </c>
      <c r="P124" s="19">
        <f>IF(M124="","",M124*N124)</f>
        <v/>
      </c>
      <c r="Q124" s="8" t="n"/>
      <c r="R124" s="8" t="inlineStr">
        <is>
          <t>En stock</t>
        </is>
      </c>
      <c r="S124" s="9" t="n"/>
    </row>
    <row r="125">
      <c r="A125" s="8" t="n">
        <v>119</v>
      </c>
      <c r="B125" s="8" t="inlineStr">
        <is>
          <t>Matières premières</t>
        </is>
      </c>
      <c r="C125" s="8" t="inlineStr">
        <is>
          <t>Ingrédients &gt; Chocolat</t>
        </is>
      </c>
      <c r="D125" s="8" t="inlineStr">
        <is>
          <t>CHOCOLAT COUVERTURE BLANC VHP</t>
        </is>
      </c>
      <c r="E125" s="8" t="inlineStr"/>
      <c r="F125" s="8" t="inlineStr">
        <is>
          <t>kg</t>
        </is>
      </c>
      <c r="G125" s="8" t="inlineStr"/>
      <c r="H125" s="14" t="n"/>
      <c r="I125" s="14" t="n">
        <v>0</v>
      </c>
      <c r="J125" s="15" t="n"/>
      <c r="K125" s="16" t="n"/>
      <c r="L125" s="17">
        <f>IF(AND(J125="",K125=""),"",IF(H125="",K125,J125*H125+K125))</f>
        <v/>
      </c>
      <c r="M125" s="17">
        <f>IF(L125="","",L125-I125)</f>
        <v/>
      </c>
      <c r="N125" s="18" t="n">
        <v>90</v>
      </c>
      <c r="O125" s="19">
        <f>IF(L125="","",L125*N125)</f>
        <v/>
      </c>
      <c r="P125" s="19">
        <f>IF(M125="","",M125*N125)</f>
        <v/>
      </c>
      <c r="Q125" s="8" t="n"/>
      <c r="R125" s="8" t="inlineStr">
        <is>
          <t>En stock</t>
        </is>
      </c>
      <c r="S125" s="9" t="n"/>
    </row>
    <row r="126">
      <c r="A126" s="8" t="n">
        <v>120</v>
      </c>
      <c r="B126" s="8" t="inlineStr">
        <is>
          <t>Matières premières</t>
        </is>
      </c>
      <c r="C126" s="8" t="inlineStr">
        <is>
          <t>Ingrédients &gt; Chocolat</t>
        </is>
      </c>
      <c r="D126" s="8" t="inlineStr">
        <is>
          <t>CHOCOLAT COUVERTURE LAIT  VHP</t>
        </is>
      </c>
      <c r="E126" s="8" t="inlineStr"/>
      <c r="F126" s="8" t="inlineStr">
        <is>
          <t>kg</t>
        </is>
      </c>
      <c r="G126" s="8" t="inlineStr"/>
      <c r="H126" s="14" t="n"/>
      <c r="I126" s="14" t="n">
        <v>0</v>
      </c>
      <c r="J126" s="15" t="n"/>
      <c r="K126" s="16" t="n"/>
      <c r="L126" s="17">
        <f>IF(AND(J126="",K126=""),"",IF(H126="",K126,J126*H126+K126))</f>
        <v/>
      </c>
      <c r="M126" s="17">
        <f>IF(L126="","",L126-I126)</f>
        <v/>
      </c>
      <c r="N126" s="18" t="n">
        <v>90</v>
      </c>
      <c r="O126" s="19">
        <f>IF(L126="","",L126*N126)</f>
        <v/>
      </c>
      <c r="P126" s="19">
        <f>IF(M126="","",M126*N126)</f>
        <v/>
      </c>
      <c r="Q126" s="8" t="n"/>
      <c r="R126" s="8" t="inlineStr">
        <is>
          <t>En stock</t>
        </is>
      </c>
      <c r="S126" s="9" t="n"/>
    </row>
    <row r="127">
      <c r="A127" s="8" t="n">
        <v>121</v>
      </c>
      <c r="B127" s="8" t="inlineStr">
        <is>
          <t>Matières premières</t>
        </is>
      </c>
      <c r="C127" s="8" t="inlineStr">
        <is>
          <t>Ingrédients &gt; Chocolat</t>
        </is>
      </c>
      <c r="D127" s="8" t="inlineStr">
        <is>
          <t>CHOCOLAT COUVIRETURE SIMPLE PLAN</t>
        </is>
      </c>
      <c r="E127" s="8" t="inlineStr"/>
      <c r="F127" s="8" t="inlineStr">
        <is>
          <t>kg</t>
        </is>
      </c>
      <c r="G127" s="8" t="inlineStr"/>
      <c r="H127" s="14" t="n"/>
      <c r="I127" s="14" t="n">
        <v>0</v>
      </c>
      <c r="J127" s="15" t="n"/>
      <c r="K127" s="16" t="n"/>
      <c r="L127" s="17">
        <f>IF(AND(J127="",K127=""),"",IF(H127="",K127,J127*H127+K127))</f>
        <v/>
      </c>
      <c r="M127" s="17">
        <f>IF(L127="","",L127-I127)</f>
        <v/>
      </c>
      <c r="N127" s="18" t="n">
        <v>90</v>
      </c>
      <c r="O127" s="19">
        <f>IF(L127="","",L127*N127)</f>
        <v/>
      </c>
      <c r="P127" s="19">
        <f>IF(M127="","",M127*N127)</f>
        <v/>
      </c>
      <c r="Q127" s="8" t="n"/>
      <c r="R127" s="8" t="inlineStr">
        <is>
          <t>Stock a 0</t>
        </is>
      </c>
      <c r="S127" s="9" t="n"/>
    </row>
    <row r="128">
      <c r="A128" s="8" t="n">
        <v>122</v>
      </c>
      <c r="B128" s="8" t="inlineStr">
        <is>
          <t>Matières premières</t>
        </is>
      </c>
      <c r="C128" s="8" t="inlineStr">
        <is>
          <t>Ingrédients &gt; Chocolat</t>
        </is>
      </c>
      <c r="D128" s="8" t="inlineStr">
        <is>
          <t>CHOCOLAT DE COUVERTURE BLAN DGF</t>
        </is>
      </c>
      <c r="E128" s="8" t="inlineStr"/>
      <c r="F128" s="8" t="inlineStr">
        <is>
          <t>kg</t>
        </is>
      </c>
      <c r="G128" s="8" t="inlineStr"/>
      <c r="H128" s="14" t="n"/>
      <c r="I128" s="14" t="n">
        <v>0</v>
      </c>
      <c r="J128" s="15" t="n"/>
      <c r="K128" s="16" t="n"/>
      <c r="L128" s="17">
        <f>IF(AND(J128="",K128=""),"",IF(H128="",K128,J128*H128+K128))</f>
        <v/>
      </c>
      <c r="M128" s="17">
        <f>IF(L128="","",L128-I128)</f>
        <v/>
      </c>
      <c r="N128" s="18" t="n">
        <v>103.333</v>
      </c>
      <c r="O128" s="19">
        <f>IF(L128="","",L128*N128)</f>
        <v/>
      </c>
      <c r="P128" s="19">
        <f>IF(M128="","",M128*N128)</f>
        <v/>
      </c>
      <c r="Q128" s="8" t="n"/>
      <c r="R128" s="8" t="inlineStr">
        <is>
          <t>En stock</t>
        </is>
      </c>
      <c r="S128" s="9" t="n"/>
    </row>
    <row r="129">
      <c r="A129" s="8" t="n">
        <v>123</v>
      </c>
      <c r="B129" s="8" t="inlineStr">
        <is>
          <t>Matières premières</t>
        </is>
      </c>
      <c r="C129" s="8" t="inlineStr">
        <is>
          <t>Ingrédients &gt; Chocolat</t>
        </is>
      </c>
      <c r="D129" s="8" t="inlineStr">
        <is>
          <t>CHOCOLAT DE COUVERTURE BLANC</t>
        </is>
      </c>
      <c r="E129" s="8" t="inlineStr"/>
      <c r="F129" s="8" t="inlineStr">
        <is>
          <t>kg</t>
        </is>
      </c>
      <c r="G129" s="8" t="inlineStr"/>
      <c r="H129" s="14" t="n"/>
      <c r="I129" s="14" t="n">
        <v>0</v>
      </c>
      <c r="J129" s="15" t="n"/>
      <c r="K129" s="16" t="n"/>
      <c r="L129" s="17">
        <f>IF(AND(J129="",K129=""),"",IF(H129="",K129,J129*H129+K129))</f>
        <v/>
      </c>
      <c r="M129" s="17">
        <f>IF(L129="","",L129-I129)</f>
        <v/>
      </c>
      <c r="N129" s="18" t="n">
        <v>90</v>
      </c>
      <c r="O129" s="19">
        <f>IF(L129="","",L129*N129)</f>
        <v/>
      </c>
      <c r="P129" s="19">
        <f>IF(M129="","",M129*N129)</f>
        <v/>
      </c>
      <c r="Q129" s="8" t="n"/>
      <c r="R129" s="8" t="inlineStr">
        <is>
          <t>Stock a 0</t>
        </is>
      </c>
      <c r="S129" s="9" t="n"/>
    </row>
    <row r="130">
      <c r="A130" s="8" t="n">
        <v>124</v>
      </c>
      <c r="B130" s="8" t="inlineStr">
        <is>
          <t>Matières premières</t>
        </is>
      </c>
      <c r="C130" s="8" t="inlineStr">
        <is>
          <t>Ingrédients &gt; Chocolat</t>
        </is>
      </c>
      <c r="D130" s="8" t="inlineStr">
        <is>
          <t>CHOCOLAT DE COUVERTURE BLANC DGF</t>
        </is>
      </c>
      <c r="E130" s="8" t="inlineStr"/>
      <c r="F130" s="8" t="inlineStr">
        <is>
          <t>kg</t>
        </is>
      </c>
      <c r="G130" s="8" t="inlineStr"/>
      <c r="H130" s="14" t="n"/>
      <c r="I130" s="14" t="n">
        <v>0</v>
      </c>
      <c r="J130" s="15" t="n"/>
      <c r="K130" s="16" t="n"/>
      <c r="L130" s="17">
        <f>IF(AND(J130="",K130=""),"",IF(H130="",K130,J130*H130+K130))</f>
        <v/>
      </c>
      <c r="M130" s="17">
        <f>IF(L130="","",L130-I130)</f>
        <v/>
      </c>
      <c r="N130" s="18" t="n">
        <v>103.333</v>
      </c>
      <c r="O130" s="19">
        <f>IF(L130="","",L130*N130)</f>
        <v/>
      </c>
      <c r="P130" s="19">
        <f>IF(M130="","",M130*N130)</f>
        <v/>
      </c>
      <c r="Q130" s="8" t="n"/>
      <c r="R130" s="8" t="inlineStr">
        <is>
          <t>En stock</t>
        </is>
      </c>
      <c r="S130" s="9" t="n"/>
    </row>
    <row r="131">
      <c r="A131" s="8" t="n">
        <v>125</v>
      </c>
      <c r="B131" s="8" t="inlineStr">
        <is>
          <t>Matières premières</t>
        </is>
      </c>
      <c r="C131" s="8" t="inlineStr">
        <is>
          <t>Ingrédients &gt; Chocolat</t>
        </is>
      </c>
      <c r="D131" s="8" t="inlineStr">
        <is>
          <t>CHOCOLAT DE COUVERTURE NOIR DGF</t>
        </is>
      </c>
      <c r="E131" s="8" t="inlineStr"/>
      <c r="F131" s="8" t="inlineStr">
        <is>
          <t>kg</t>
        </is>
      </c>
      <c r="G131" s="8" t="inlineStr"/>
      <c r="H131" s="14" t="n"/>
      <c r="I131" s="14" t="n">
        <v>0</v>
      </c>
      <c r="J131" s="15" t="n"/>
      <c r="K131" s="16" t="n"/>
      <c r="L131" s="17">
        <f>IF(AND(J131="",K131=""),"",IF(H131="",K131,J131*H131+K131))</f>
        <v/>
      </c>
      <c r="M131" s="17">
        <f>IF(L131="","",L131-I131)</f>
        <v/>
      </c>
      <c r="N131" s="18" t="n">
        <v>99.167</v>
      </c>
      <c r="O131" s="19">
        <f>IF(L131="","",L131*N131)</f>
        <v/>
      </c>
      <c r="P131" s="19">
        <f>IF(M131="","",M131*N131)</f>
        <v/>
      </c>
      <c r="Q131" s="8" t="n"/>
      <c r="R131" s="8" t="inlineStr">
        <is>
          <t>En stock</t>
        </is>
      </c>
      <c r="S131" s="9" t="n"/>
    </row>
    <row r="132">
      <c r="A132" s="8" t="n">
        <v>126</v>
      </c>
      <c r="B132" s="8" t="inlineStr">
        <is>
          <t>Matières premières</t>
        </is>
      </c>
      <c r="C132" s="8" t="inlineStr">
        <is>
          <t>Ingrédients &gt; Chocolat</t>
        </is>
      </c>
      <c r="D132" s="8" t="inlineStr">
        <is>
          <t>CHOCOLAT DE COUVERTURE NOIR VHP</t>
        </is>
      </c>
      <c r="E132" s="8" t="inlineStr"/>
      <c r="F132" s="8" t="inlineStr">
        <is>
          <t>kg</t>
        </is>
      </c>
      <c r="G132" s="8" t="inlineStr"/>
      <c r="H132" s="14" t="n"/>
      <c r="I132" s="14" t="n">
        <v>0</v>
      </c>
      <c r="J132" s="15" t="n"/>
      <c r="K132" s="16" t="n"/>
      <c r="L132" s="17">
        <f>IF(AND(J132="",K132=""),"",IF(H132="",K132,J132*H132+K132))</f>
        <v/>
      </c>
      <c r="M132" s="17">
        <f>IF(L132="","",L132-I132)</f>
        <v/>
      </c>
      <c r="N132" s="18" t="n">
        <v>86.666</v>
      </c>
      <c r="O132" s="19">
        <f>IF(L132="","",L132*N132)</f>
        <v/>
      </c>
      <c r="P132" s="19">
        <f>IF(M132="","",M132*N132)</f>
        <v/>
      </c>
      <c r="Q132" s="8" t="n"/>
      <c r="R132" s="8" t="inlineStr">
        <is>
          <t>En stock</t>
        </is>
      </c>
      <c r="S132" s="9" t="n"/>
    </row>
    <row r="133">
      <c r="A133" s="8" t="n">
        <v>127</v>
      </c>
      <c r="B133" s="8" t="inlineStr">
        <is>
          <t>Matières premières</t>
        </is>
      </c>
      <c r="C133" s="8" t="inlineStr">
        <is>
          <t>Ingrédients &gt; Chocolat</t>
        </is>
      </c>
      <c r="D133" s="8" t="inlineStr">
        <is>
          <t>Cacao en poudre 10/12</t>
        </is>
      </c>
      <c r="E133" s="8" t="inlineStr">
        <is>
          <t>Générique</t>
        </is>
      </c>
      <c r="F133" s="8" t="inlineStr">
        <is>
          <t>kg</t>
        </is>
      </c>
      <c r="G133" s="8" t="inlineStr"/>
      <c r="H133" s="14" t="n"/>
      <c r="I133" s="14" t="n">
        <v>0</v>
      </c>
      <c r="J133" s="15" t="n"/>
      <c r="K133" s="16" t="n"/>
      <c r="L133" s="17">
        <f>IF(AND(J133="",K133=""),"",IF(H133="",K133,J133*H133+K133))</f>
        <v/>
      </c>
      <c r="M133" s="17">
        <f>IF(L133="","",L133-I133)</f>
        <v/>
      </c>
      <c r="N133" s="18" t="n">
        <v>79.166</v>
      </c>
      <c r="O133" s="19">
        <f>IF(L133="","",L133*N133)</f>
        <v/>
      </c>
      <c r="P133" s="19">
        <f>IF(M133="","",M133*N133)</f>
        <v/>
      </c>
      <c r="Q133" s="8" t="n"/>
      <c r="R133" s="8" t="inlineStr">
        <is>
          <t>En stock</t>
        </is>
      </c>
      <c r="S133" s="9" t="n"/>
    </row>
    <row r="134">
      <c r="A134" s="8" t="n">
        <v>128</v>
      </c>
      <c r="B134" s="8" t="inlineStr">
        <is>
          <t>Matières premières</t>
        </is>
      </c>
      <c r="C134" s="8" t="inlineStr">
        <is>
          <t>Ingrédients &gt; Chocolat</t>
        </is>
      </c>
      <c r="D134" s="8" t="inlineStr">
        <is>
          <t>Chocolat 50%</t>
        </is>
      </c>
      <c r="E134" s="8" t="inlineStr">
        <is>
          <t>Générique</t>
        </is>
      </c>
      <c r="F134" s="8" t="inlineStr">
        <is>
          <t>kg</t>
        </is>
      </c>
      <c r="G134" s="8" t="inlineStr"/>
      <c r="H134" s="14" t="n"/>
      <c r="I134" s="14" t="n">
        <v>0</v>
      </c>
      <c r="J134" s="15" t="n"/>
      <c r="K134" s="16" t="n"/>
      <c r="L134" s="17">
        <f>IF(AND(J134="",K134=""),"",IF(H134="",K134,J134*H134+K134))</f>
        <v/>
      </c>
      <c r="M134" s="17">
        <f>IF(L134="","",L134-I134)</f>
        <v/>
      </c>
      <c r="N134" s="18" t="n">
        <v>120</v>
      </c>
      <c r="O134" s="19">
        <f>IF(L134="","",L134*N134)</f>
        <v/>
      </c>
      <c r="P134" s="19">
        <f>IF(M134="","",M134*N134)</f>
        <v/>
      </c>
      <c r="Q134" s="8" t="n"/>
      <c r="R134" s="8" t="inlineStr">
        <is>
          <t>Jamais recu</t>
        </is>
      </c>
      <c r="S134" s="9" t="n"/>
    </row>
    <row r="135">
      <c r="A135" s="8" t="n">
        <v>129</v>
      </c>
      <c r="B135" s="8" t="inlineStr">
        <is>
          <t>Matières premières</t>
        </is>
      </c>
      <c r="C135" s="8" t="inlineStr">
        <is>
          <t>Ingrédients &gt; Chocolat</t>
        </is>
      </c>
      <c r="D135" s="8" t="inlineStr">
        <is>
          <t>Chocolat Blanc 30%</t>
        </is>
      </c>
      <c r="E135" s="8" t="inlineStr">
        <is>
          <t>DGF</t>
        </is>
      </c>
      <c r="F135" s="8" t="inlineStr">
        <is>
          <t>kg</t>
        </is>
      </c>
      <c r="G135" s="8" t="inlineStr"/>
      <c r="H135" s="14" t="n"/>
      <c r="I135" s="14" t="n">
        <v>0</v>
      </c>
      <c r="J135" s="15" t="n"/>
      <c r="K135" s="16" t="n"/>
      <c r="L135" s="17">
        <f>IF(AND(J135="",K135=""),"",IF(H135="",K135,J135*H135+K135))</f>
        <v/>
      </c>
      <c r="M135" s="17">
        <f>IF(L135="","",L135-I135)</f>
        <v/>
      </c>
      <c r="N135" s="18" t="n">
        <v>125</v>
      </c>
      <c r="O135" s="19">
        <f>IF(L135="","",L135*N135)</f>
        <v/>
      </c>
      <c r="P135" s="19">
        <f>IF(M135="","",M135*N135)</f>
        <v/>
      </c>
      <c r="Q135" s="8" t="n"/>
      <c r="R135" s="8" t="inlineStr">
        <is>
          <t>Jamais recu</t>
        </is>
      </c>
      <c r="S135" s="9" t="n"/>
    </row>
    <row r="136">
      <c r="A136" s="8" t="n">
        <v>130</v>
      </c>
      <c r="B136" s="8" t="inlineStr">
        <is>
          <t>Matières premières</t>
        </is>
      </c>
      <c r="C136" s="8" t="inlineStr">
        <is>
          <t>Ingrédients &gt; Chocolat</t>
        </is>
      </c>
      <c r="D136" s="8" t="inlineStr">
        <is>
          <t>Chocolat Gala Blanc</t>
        </is>
      </c>
      <c r="E136" s="8" t="inlineStr">
        <is>
          <t>Gala</t>
        </is>
      </c>
      <c r="F136" s="8" t="inlineStr">
        <is>
          <t>kg</t>
        </is>
      </c>
      <c r="G136" s="8" t="inlineStr"/>
      <c r="H136" s="14" t="n"/>
      <c r="I136" s="14" t="n">
        <v>0</v>
      </c>
      <c r="J136" s="15" t="n"/>
      <c r="K136" s="16" t="n"/>
      <c r="L136" s="17">
        <f>IF(AND(J136="",K136=""),"",IF(H136="",K136,J136*H136+K136))</f>
        <v/>
      </c>
      <c r="M136" s="17">
        <f>IF(L136="","",L136-I136)</f>
        <v/>
      </c>
      <c r="N136" s="18" t="n">
        <v>23</v>
      </c>
      <c r="O136" s="19">
        <f>IF(L136="","",L136*N136)</f>
        <v/>
      </c>
      <c r="P136" s="19">
        <f>IF(M136="","",M136*N136)</f>
        <v/>
      </c>
      <c r="Q136" s="8" t="n"/>
      <c r="R136" s="8" t="inlineStr">
        <is>
          <t>Jamais recu</t>
        </is>
      </c>
      <c r="S136" s="9" t="n"/>
    </row>
    <row r="137">
      <c r="A137" s="8" t="n">
        <v>131</v>
      </c>
      <c r="B137" s="8" t="inlineStr">
        <is>
          <t>Matières premières</t>
        </is>
      </c>
      <c r="C137" s="8" t="inlineStr">
        <is>
          <t>Ingrédients &gt; Chocolat</t>
        </is>
      </c>
      <c r="D137" s="8" t="inlineStr">
        <is>
          <t>Chocolat Gala Noir</t>
        </is>
      </c>
      <c r="E137" s="8" t="inlineStr"/>
      <c r="F137" s="8" t="inlineStr">
        <is>
          <t>unit</t>
        </is>
      </c>
      <c r="G137" s="8" t="inlineStr"/>
      <c r="H137" s="14" t="n"/>
      <c r="I137" s="14" t="n">
        <v>0</v>
      </c>
      <c r="J137" s="15" t="n"/>
      <c r="K137" s="16" t="n"/>
      <c r="L137" s="17">
        <f>IF(AND(J137="",K137=""),"",IF(H137="",K137,J137*H137+K137))</f>
        <v/>
      </c>
      <c r="M137" s="17">
        <f>IF(L137="","",L137-I137)</f>
        <v/>
      </c>
      <c r="N137" s="18" t="n">
        <v>22.5</v>
      </c>
      <c r="O137" s="19">
        <f>IF(L137="","",L137*N137)</f>
        <v/>
      </c>
      <c r="P137" s="19">
        <f>IF(M137="","",M137*N137)</f>
        <v/>
      </c>
      <c r="Q137" s="8" t="n"/>
      <c r="R137" s="8" t="inlineStr">
        <is>
          <t>En stock</t>
        </is>
      </c>
      <c r="S137" s="9" t="n"/>
    </row>
    <row r="138">
      <c r="A138" s="8" t="n">
        <v>132</v>
      </c>
      <c r="B138" s="8" t="inlineStr">
        <is>
          <t>Matières premières</t>
        </is>
      </c>
      <c r="C138" s="8" t="inlineStr">
        <is>
          <t>Ingrédients &gt; Chocolat</t>
        </is>
      </c>
      <c r="D138" s="8" t="inlineStr">
        <is>
          <t>Chocolat Gala Noir</t>
        </is>
      </c>
      <c r="E138" s="8" t="inlineStr">
        <is>
          <t>Gala</t>
        </is>
      </c>
      <c r="F138" s="8" t="inlineStr">
        <is>
          <t>kg</t>
        </is>
      </c>
      <c r="G138" s="8" t="inlineStr"/>
      <c r="H138" s="14" t="n"/>
      <c r="I138" s="14" t="n">
        <v>0</v>
      </c>
      <c r="J138" s="15" t="n"/>
      <c r="K138" s="16" t="n"/>
      <c r="L138" s="17">
        <f>IF(AND(J138="",K138=""),"",IF(H138="",K138,J138*H138+K138))</f>
        <v/>
      </c>
      <c r="M138" s="17">
        <f>IF(L138="","",L138-I138)</f>
        <v/>
      </c>
      <c r="N138" s="18" t="n">
        <v>22</v>
      </c>
      <c r="O138" s="19">
        <f>IF(L138="","",L138*N138)</f>
        <v/>
      </c>
      <c r="P138" s="19">
        <f>IF(M138="","",M138*N138)</f>
        <v/>
      </c>
      <c r="Q138" s="8" t="n"/>
      <c r="R138" s="8" t="inlineStr">
        <is>
          <t>Jamais recu</t>
        </is>
      </c>
      <c r="S138" s="9" t="n"/>
    </row>
    <row r="139">
      <c r="A139" s="8" t="n">
        <v>133</v>
      </c>
      <c r="B139" s="8" t="inlineStr">
        <is>
          <t>Matières premières</t>
        </is>
      </c>
      <c r="C139" s="8" t="inlineStr">
        <is>
          <t>Ingrédients &gt; Chocolat</t>
        </is>
      </c>
      <c r="D139" s="8" t="inlineStr">
        <is>
          <t>Chocolat Rich Noir</t>
        </is>
      </c>
      <c r="E139" s="8" t="inlineStr"/>
      <c r="F139" s="8" t="inlineStr">
        <is>
          <t>kg</t>
        </is>
      </c>
      <c r="G139" s="8" t="inlineStr"/>
      <c r="H139" s="14" t="n"/>
      <c r="I139" s="14" t="n">
        <v>0</v>
      </c>
      <c r="J139" s="15" t="n"/>
      <c r="K139" s="16" t="n"/>
      <c r="L139" s="17">
        <f>IF(AND(J139="",K139=""),"",IF(H139="",K139,J139*H139+K139))</f>
        <v/>
      </c>
      <c r="M139" s="17">
        <f>IF(L139="","",L139-I139)</f>
        <v/>
      </c>
      <c r="N139" s="18" t="n">
        <v>86.66</v>
      </c>
      <c r="O139" s="19">
        <f>IF(L139="","",L139*N139)</f>
        <v/>
      </c>
      <c r="P139" s="19">
        <f>IF(M139="","",M139*N139)</f>
        <v/>
      </c>
      <c r="Q139" s="8" t="n"/>
      <c r="R139" s="8" t="inlineStr">
        <is>
          <t>Stock a 0</t>
        </is>
      </c>
      <c r="S139" s="9" t="n"/>
    </row>
    <row r="140">
      <c r="A140" s="8" t="n">
        <v>134</v>
      </c>
      <c r="B140" s="8" t="inlineStr">
        <is>
          <t>Matières premières</t>
        </is>
      </c>
      <c r="C140" s="8" t="inlineStr">
        <is>
          <t>Ingrédients &gt; Chocolat</t>
        </is>
      </c>
      <c r="D140" s="8" t="inlineStr">
        <is>
          <t>Chocolat baton</t>
        </is>
      </c>
      <c r="E140" s="8" t="inlineStr"/>
      <c r="F140" s="8" t="inlineStr">
        <is>
          <t>unit</t>
        </is>
      </c>
      <c r="G140" s="8" t="inlineStr"/>
      <c r="H140" s="14" t="n"/>
      <c r="I140" s="14" t="n">
        <v>0</v>
      </c>
      <c r="J140" s="15" t="n"/>
      <c r="K140" s="16" t="n"/>
      <c r="L140" s="17">
        <f>IF(AND(J140="",K140=""),"",IF(H140="",K140,J140*H140+K140))</f>
        <v/>
      </c>
      <c r="M140" s="17">
        <f>IF(L140="","",L140-I140)</f>
        <v/>
      </c>
      <c r="N140" s="18" t="n">
        <v>12</v>
      </c>
      <c r="O140" s="19">
        <f>IF(L140="","",L140*N140)</f>
        <v/>
      </c>
      <c r="P140" s="19">
        <f>IF(M140="","",M140*N140)</f>
        <v/>
      </c>
      <c r="Q140" s="8" t="n"/>
      <c r="R140" s="8" t="inlineStr">
        <is>
          <t>Stock a 0</t>
        </is>
      </c>
      <c r="S140" s="9" t="n"/>
    </row>
    <row r="141">
      <c r="A141" s="8" t="n">
        <v>135</v>
      </c>
      <c r="B141" s="8" t="inlineStr">
        <is>
          <t>Matières premières</t>
        </is>
      </c>
      <c r="C141" s="8" t="inlineStr">
        <is>
          <t>Ingrédients &gt; Chocolat</t>
        </is>
      </c>
      <c r="D141" s="8" t="inlineStr">
        <is>
          <t>Chocolat blanc</t>
        </is>
      </c>
      <c r="E141" s="8" t="inlineStr"/>
      <c r="F141" s="8" t="inlineStr">
        <is>
          <t>kg</t>
        </is>
      </c>
      <c r="G141" s="8" t="inlineStr"/>
      <c r="H141" s="14" t="n"/>
      <c r="I141" s="14" t="n">
        <v>0</v>
      </c>
      <c r="J141" s="15" t="n"/>
      <c r="K141" s="16" t="n"/>
      <c r="L141" s="17">
        <f>IF(AND(J141="",K141=""),"",IF(H141="",K141,J141*H141+K141))</f>
        <v/>
      </c>
      <c r="M141" s="17">
        <f>IF(L141="","",L141-I141)</f>
        <v/>
      </c>
      <c r="N141" s="18" t="n">
        <v>155</v>
      </c>
      <c r="O141" s="19">
        <f>IF(L141="","",L141*N141)</f>
        <v/>
      </c>
      <c r="P141" s="19">
        <f>IF(M141="","",M141*N141)</f>
        <v/>
      </c>
      <c r="Q141" s="8" t="n"/>
      <c r="R141" s="8" t="inlineStr">
        <is>
          <t>Jamais recu</t>
        </is>
      </c>
      <c r="S141" s="9" t="n"/>
    </row>
    <row r="142">
      <c r="A142" s="8" t="n">
        <v>136</v>
      </c>
      <c r="B142" s="8" t="inlineStr">
        <is>
          <t>Matières premières</t>
        </is>
      </c>
      <c r="C142" s="8" t="inlineStr">
        <is>
          <t>Ingrédients &gt; Chocolat</t>
        </is>
      </c>
      <c r="D142" s="8" t="inlineStr">
        <is>
          <t>Chocolat blanc sucré ( ven hoten )</t>
        </is>
      </c>
      <c r="E142" s="8" t="inlineStr"/>
      <c r="F142" s="8" t="inlineStr">
        <is>
          <t>kg</t>
        </is>
      </c>
      <c r="G142" s="8" t="inlineStr"/>
      <c r="H142" s="14" t="n"/>
      <c r="I142" s="14" t="n">
        <v>0</v>
      </c>
      <c r="J142" s="15" t="n"/>
      <c r="K142" s="16" t="n"/>
      <c r="L142" s="17">
        <f>IF(AND(J142="",K142=""),"",IF(H142="",K142,J142*H142+K142))</f>
        <v/>
      </c>
      <c r="M142" s="17">
        <f>IF(L142="","",L142-I142)</f>
        <v/>
      </c>
      <c r="N142" s="18" t="n">
        <v>35.72</v>
      </c>
      <c r="O142" s="19">
        <f>IF(L142="","",L142*N142)</f>
        <v/>
      </c>
      <c r="P142" s="19">
        <f>IF(M142="","",M142*N142)</f>
        <v/>
      </c>
      <c r="Q142" s="8" t="n"/>
      <c r="R142" s="8" t="inlineStr">
        <is>
          <t>Stock a 0</t>
        </is>
      </c>
      <c r="S142" s="9" t="n"/>
    </row>
    <row r="143">
      <c r="A143" s="8" t="n">
        <v>137</v>
      </c>
      <c r="B143" s="8" t="inlineStr">
        <is>
          <t>Matières premières</t>
        </is>
      </c>
      <c r="C143" s="8" t="inlineStr">
        <is>
          <t>Ingrédients &gt; Chocolat</t>
        </is>
      </c>
      <c r="D143" s="8" t="inlineStr">
        <is>
          <t>Chocolat cookies drops</t>
        </is>
      </c>
      <c r="E143" s="8" t="inlineStr"/>
      <c r="F143" s="8" t="inlineStr">
        <is>
          <t>g</t>
        </is>
      </c>
      <c r="G143" s="8" t="inlineStr"/>
      <c r="H143" s="14" t="n"/>
      <c r="I143" s="14" t="n">
        <v>0</v>
      </c>
      <c r="J143" s="15" t="n"/>
      <c r="K143" s="16" t="n"/>
      <c r="L143" s="17">
        <f>IF(AND(J143="",K143=""),"",IF(H143="",K143,J143*H143+K143))</f>
        <v/>
      </c>
      <c r="M143" s="17">
        <f>IF(L143="","",L143-I143)</f>
        <v/>
      </c>
      <c r="N143" s="18" t="n">
        <v>0.14</v>
      </c>
      <c r="O143" s="19">
        <f>IF(L143="","",L143*N143)</f>
        <v/>
      </c>
      <c r="P143" s="19">
        <f>IF(M143="","",M143*N143)</f>
        <v/>
      </c>
      <c r="Q143" s="8" t="n"/>
      <c r="R143" s="8" t="inlineStr">
        <is>
          <t>Stock a 0</t>
        </is>
      </c>
      <c r="S143" s="9" t="n"/>
    </row>
    <row r="144">
      <c r="A144" s="8" t="n">
        <v>138</v>
      </c>
      <c r="B144" s="8" t="inlineStr">
        <is>
          <t>Matières premières</t>
        </is>
      </c>
      <c r="C144" s="8" t="inlineStr">
        <is>
          <t>Ingrédients &gt; Chocolat</t>
        </is>
      </c>
      <c r="D144" s="8" t="inlineStr">
        <is>
          <t>Chocolat cookies drops</t>
        </is>
      </c>
      <c r="E144" s="8" t="inlineStr"/>
      <c r="F144" s="8" t="inlineStr">
        <is>
          <t>kg</t>
        </is>
      </c>
      <c r="G144" s="8" t="inlineStr"/>
      <c r="H144" s="14" t="n"/>
      <c r="I144" s="14" t="n">
        <v>0</v>
      </c>
      <c r="J144" s="15" t="n"/>
      <c r="K144" s="16" t="n"/>
      <c r="L144" s="17">
        <f>IF(AND(J144="",K144=""),"",IF(H144="",K144,J144*H144+K144))</f>
        <v/>
      </c>
      <c r="M144" s="17">
        <f>IF(L144="","",L144-I144)</f>
        <v/>
      </c>
      <c r="N144" s="18" t="n">
        <v>30</v>
      </c>
      <c r="O144" s="19">
        <f>IF(L144="","",L144*N144)</f>
        <v/>
      </c>
      <c r="P144" s="19">
        <f>IF(M144="","",M144*N144)</f>
        <v/>
      </c>
      <c r="Q144" s="8" t="n"/>
      <c r="R144" s="8" t="inlineStr">
        <is>
          <t>Stock a 0</t>
        </is>
      </c>
      <c r="S144" s="9" t="n"/>
    </row>
    <row r="145">
      <c r="A145" s="8" t="n">
        <v>139</v>
      </c>
      <c r="B145" s="8" t="inlineStr">
        <is>
          <t>Matières premières</t>
        </is>
      </c>
      <c r="C145" s="8" t="inlineStr">
        <is>
          <t>Ingrédients &gt; Chocolat</t>
        </is>
      </c>
      <c r="D145" s="8" t="inlineStr">
        <is>
          <t>Chocolat couverture blanc 26.4%</t>
        </is>
      </c>
      <c r="E145" s="8" t="inlineStr">
        <is>
          <t>ECOMAB</t>
        </is>
      </c>
      <c r="F145" s="8" t="inlineStr">
        <is>
          <t>kg</t>
        </is>
      </c>
      <c r="G145" s="8" t="inlineStr"/>
      <c r="H145" s="14" t="n"/>
      <c r="I145" s="14" t="n">
        <v>0</v>
      </c>
      <c r="J145" s="15" t="n"/>
      <c r="K145" s="16" t="n"/>
      <c r="L145" s="17">
        <f>IF(AND(J145="",K145=""),"",IF(H145="",K145,J145*H145+K145))</f>
        <v/>
      </c>
      <c r="M145" s="17">
        <f>IF(L145="","",L145-I145)</f>
        <v/>
      </c>
      <c r="N145" s="18" t="n">
        <v>106</v>
      </c>
      <c r="O145" s="19">
        <f>IF(L145="","",L145*N145)</f>
        <v/>
      </c>
      <c r="P145" s="19">
        <f>IF(M145="","",M145*N145)</f>
        <v/>
      </c>
      <c r="Q145" s="8" t="n"/>
      <c r="R145" s="8" t="inlineStr">
        <is>
          <t>Jamais recu</t>
        </is>
      </c>
      <c r="S145" s="9" t="n"/>
    </row>
    <row r="146">
      <c r="A146" s="8" t="n">
        <v>140</v>
      </c>
      <c r="B146" s="8" t="inlineStr">
        <is>
          <t>Matières premières</t>
        </is>
      </c>
      <c r="C146" s="8" t="inlineStr">
        <is>
          <t>Ingrédients &gt; Chocolat</t>
        </is>
      </c>
      <c r="D146" s="8" t="inlineStr">
        <is>
          <t>Chocolat couverture noir VHP</t>
        </is>
      </c>
      <c r="E146" s="8" t="inlineStr">
        <is>
          <t>ECOMAB</t>
        </is>
      </c>
      <c r="F146" s="8" t="inlineStr">
        <is>
          <t>kg</t>
        </is>
      </c>
      <c r="G146" s="8" t="inlineStr"/>
      <c r="H146" s="14" t="n"/>
      <c r="I146" s="14" t="n">
        <v>0</v>
      </c>
      <c r="J146" s="15" t="n"/>
      <c r="K146" s="16" t="n"/>
      <c r="L146" s="17">
        <f>IF(AND(J146="",K146=""),"",IF(H146="",K146,J146*H146+K146))</f>
        <v/>
      </c>
      <c r="M146" s="17">
        <f>IF(L146="","",L146-I146)</f>
        <v/>
      </c>
      <c r="N146" s="18" t="n">
        <v>97.5</v>
      </c>
      <c r="O146" s="19">
        <f>IF(L146="","",L146*N146)</f>
        <v/>
      </c>
      <c r="P146" s="19">
        <f>IF(M146="","",M146*N146)</f>
        <v/>
      </c>
      <c r="Q146" s="8" t="n"/>
      <c r="R146" s="8" t="inlineStr">
        <is>
          <t>En stock</t>
        </is>
      </c>
      <c r="S146" s="9" t="n"/>
    </row>
    <row r="147">
      <c r="A147" s="8" t="n">
        <v>141</v>
      </c>
      <c r="B147" s="8" t="inlineStr">
        <is>
          <t>Matières premières</t>
        </is>
      </c>
      <c r="C147" s="8" t="inlineStr">
        <is>
          <t>Ingrédients &gt; Chocolat</t>
        </is>
      </c>
      <c r="D147" s="8" t="inlineStr">
        <is>
          <t>Chocolat de couverture Lait 33%</t>
        </is>
      </c>
      <c r="E147" s="8" t="inlineStr">
        <is>
          <t>DGF</t>
        </is>
      </c>
      <c r="F147" s="8" t="inlineStr">
        <is>
          <t>kg</t>
        </is>
      </c>
      <c r="G147" s="8" t="inlineStr"/>
      <c r="H147" s="14" t="n"/>
      <c r="I147" s="14" t="n">
        <v>0</v>
      </c>
      <c r="J147" s="15" t="n"/>
      <c r="K147" s="16" t="n"/>
      <c r="L147" s="17">
        <f>IF(AND(J147="",K147=""),"",IF(H147="",K147,J147*H147+K147))</f>
        <v/>
      </c>
      <c r="M147" s="17">
        <f>IF(L147="","",L147-I147)</f>
        <v/>
      </c>
      <c r="N147" s="18" t="n">
        <v>123.334</v>
      </c>
      <c r="O147" s="19">
        <f>IF(L147="","",L147*N147)</f>
        <v/>
      </c>
      <c r="P147" s="19">
        <f>IF(M147="","",M147*N147)</f>
        <v/>
      </c>
      <c r="Q147" s="8" t="n"/>
      <c r="R147" s="8" t="inlineStr">
        <is>
          <t>Jamais recu</t>
        </is>
      </c>
      <c r="S147" s="9" t="n"/>
    </row>
    <row r="148">
      <c r="A148" s="8" t="n">
        <v>142</v>
      </c>
      <c r="B148" s="8" t="inlineStr">
        <is>
          <t>Matières premières</t>
        </is>
      </c>
      <c r="C148" s="8" t="inlineStr">
        <is>
          <t>Ingrédients &gt; Chocolat</t>
        </is>
      </c>
      <c r="D148" s="8" t="inlineStr">
        <is>
          <t>Chocolat de couverture Noir 55%</t>
        </is>
      </c>
      <c r="E148" s="8" t="inlineStr">
        <is>
          <t>DGF</t>
        </is>
      </c>
      <c r="F148" s="8" t="inlineStr">
        <is>
          <t>kg</t>
        </is>
      </c>
      <c r="G148" s="8" t="inlineStr"/>
      <c r="H148" s="14" t="n"/>
      <c r="I148" s="14" t="n">
        <v>0</v>
      </c>
      <c r="J148" s="15" t="n"/>
      <c r="K148" s="16" t="n"/>
      <c r="L148" s="17">
        <f>IF(AND(J148="",K148=""),"",IF(H148="",K148,J148*H148+K148))</f>
        <v/>
      </c>
      <c r="M148" s="17">
        <f>IF(L148="","",L148-I148)</f>
        <v/>
      </c>
      <c r="N148" s="18" t="n">
        <v>117.5</v>
      </c>
      <c r="O148" s="19">
        <f>IF(L148="","",L148*N148)</f>
        <v/>
      </c>
      <c r="P148" s="19">
        <f>IF(M148="","",M148*N148)</f>
        <v/>
      </c>
      <c r="Q148" s="8" t="n"/>
      <c r="R148" s="8" t="inlineStr">
        <is>
          <t>Jamais recu</t>
        </is>
      </c>
      <c r="S148" s="9" t="n"/>
    </row>
    <row r="149">
      <c r="A149" s="8" t="n">
        <v>143</v>
      </c>
      <c r="B149" s="8" t="inlineStr">
        <is>
          <t>Matières premières</t>
        </is>
      </c>
      <c r="C149" s="8" t="inlineStr">
        <is>
          <t>Ingrédients &gt; Chocolat</t>
        </is>
      </c>
      <c r="D149" s="8" t="inlineStr">
        <is>
          <t>Chocolat de couverture Noir 70,5%</t>
        </is>
      </c>
      <c r="E149" s="8" t="inlineStr">
        <is>
          <t>Callebaut</t>
        </is>
      </c>
      <c r="F149" s="8" t="inlineStr">
        <is>
          <t>kg</t>
        </is>
      </c>
      <c r="G149" s="8" t="inlineStr"/>
      <c r="H149" s="14" t="n"/>
      <c r="I149" s="14" t="n">
        <v>0</v>
      </c>
      <c r="J149" s="15" t="n"/>
      <c r="K149" s="16" t="n"/>
      <c r="L149" s="17">
        <f>IF(AND(J149="",K149=""),"",IF(H149="",K149,J149*H149+K149))</f>
        <v/>
      </c>
      <c r="M149" s="17">
        <f>IF(L149="","",L149-I149)</f>
        <v/>
      </c>
      <c r="N149" s="18" t="n">
        <v>166.668</v>
      </c>
      <c r="O149" s="19">
        <f>IF(L149="","",L149*N149)</f>
        <v/>
      </c>
      <c r="P149" s="19">
        <f>IF(M149="","",M149*N149)</f>
        <v/>
      </c>
      <c r="Q149" s="8" t="n"/>
      <c r="R149" s="8" t="inlineStr">
        <is>
          <t>Jamais recu</t>
        </is>
      </c>
      <c r="S149" s="9" t="n"/>
    </row>
    <row r="150">
      <c r="A150" s="8" t="n">
        <v>144</v>
      </c>
      <c r="B150" s="8" t="inlineStr">
        <is>
          <t>Matières premières</t>
        </is>
      </c>
      <c r="C150" s="8" t="inlineStr">
        <is>
          <t>Ingrédients &gt; Chocolat</t>
        </is>
      </c>
      <c r="D150" s="8" t="inlineStr">
        <is>
          <t>Chocolat gala blanc</t>
        </is>
      </c>
      <c r="E150" s="8" t="inlineStr"/>
      <c r="F150" s="8" t="inlineStr">
        <is>
          <t>unit</t>
        </is>
      </c>
      <c r="G150" s="8" t="inlineStr"/>
      <c r="H150" s="14" t="n"/>
      <c r="I150" s="14" t="n">
        <v>0</v>
      </c>
      <c r="J150" s="15" t="n"/>
      <c r="K150" s="16" t="n"/>
      <c r="L150" s="17">
        <f>IF(AND(J150="",K150=""),"",IF(H150="",K150,J150*H150+K150))</f>
        <v/>
      </c>
      <c r="M150" s="17">
        <f>IF(L150="","",L150-I150)</f>
        <v/>
      </c>
      <c r="N150" s="18" t="n">
        <v>22</v>
      </c>
      <c r="O150" s="19">
        <f>IF(L150="","",L150*N150)</f>
        <v/>
      </c>
      <c r="P150" s="19">
        <f>IF(M150="","",M150*N150)</f>
        <v/>
      </c>
      <c r="Q150" s="8" t="n"/>
      <c r="R150" s="8" t="inlineStr">
        <is>
          <t>En stock</t>
        </is>
      </c>
      <c r="S150" s="9" t="n"/>
    </row>
    <row r="151">
      <c r="A151" s="8" t="n">
        <v>145</v>
      </c>
      <c r="B151" s="8" t="inlineStr">
        <is>
          <t>Matières premières</t>
        </is>
      </c>
      <c r="C151" s="8" t="inlineStr">
        <is>
          <t>Ingrédients &gt; Chocolat</t>
        </is>
      </c>
      <c r="D151" s="8" t="inlineStr">
        <is>
          <t>Chocolat lait</t>
        </is>
      </c>
      <c r="E151" s="8" t="inlineStr"/>
      <c r="F151" s="8" t="inlineStr">
        <is>
          <t>kg</t>
        </is>
      </c>
      <c r="G151" s="8" t="inlineStr"/>
      <c r="H151" s="14" t="n"/>
      <c r="I151" s="14" t="n">
        <v>0</v>
      </c>
      <c r="J151" s="15" t="n"/>
      <c r="K151" s="16" t="n"/>
      <c r="L151" s="17">
        <f>IF(AND(J151="",K151=""),"",IF(H151="",K151,J151*H151+K151))</f>
        <v/>
      </c>
      <c r="M151" s="17">
        <f>IF(L151="","",L151-I151)</f>
        <v/>
      </c>
      <c r="N151" s="18" t="n">
        <v>160</v>
      </c>
      <c r="O151" s="19">
        <f>IF(L151="","",L151*N151)</f>
        <v/>
      </c>
      <c r="P151" s="19">
        <f>IF(M151="","",M151*N151)</f>
        <v/>
      </c>
      <c r="Q151" s="8" t="n"/>
      <c r="R151" s="8" t="inlineStr">
        <is>
          <t>Stock a 0</t>
        </is>
      </c>
      <c r="S151" s="9" t="n"/>
    </row>
    <row r="152">
      <c r="A152" s="8" t="n">
        <v>146</v>
      </c>
      <c r="B152" s="8" t="inlineStr">
        <is>
          <t>Matières premières</t>
        </is>
      </c>
      <c r="C152" s="8" t="inlineStr">
        <is>
          <t>Ingrédients &gt; Chocolat</t>
        </is>
      </c>
      <c r="D152" s="8" t="inlineStr">
        <is>
          <t>Chocolat noir</t>
        </is>
      </c>
      <c r="E152" s="8" t="inlineStr"/>
      <c r="F152" s="8" t="inlineStr">
        <is>
          <t>kg</t>
        </is>
      </c>
      <c r="G152" s="8" t="inlineStr"/>
      <c r="H152" s="14" t="n"/>
      <c r="I152" s="14" t="n">
        <v>0</v>
      </c>
      <c r="J152" s="15" t="n"/>
      <c r="K152" s="16" t="n"/>
      <c r="L152" s="17">
        <f>IF(AND(J152="",K152=""),"",IF(H152="",K152,J152*H152+K152))</f>
        <v/>
      </c>
      <c r="M152" s="17">
        <f>IF(L152="","",L152-I152)</f>
        <v/>
      </c>
      <c r="N152" s="18" t="n">
        <v>150</v>
      </c>
      <c r="O152" s="19">
        <f>IF(L152="","",L152*N152)</f>
        <v/>
      </c>
      <c r="P152" s="19">
        <f>IF(M152="","",M152*N152)</f>
        <v/>
      </c>
      <c r="Q152" s="8" t="n"/>
      <c r="R152" s="8" t="inlineStr">
        <is>
          <t>Stock a 0</t>
        </is>
      </c>
      <c r="S152" s="9" t="n"/>
    </row>
    <row r="153">
      <c r="A153" s="8" t="n">
        <v>147</v>
      </c>
      <c r="B153" s="8" t="inlineStr">
        <is>
          <t>Matières premières</t>
        </is>
      </c>
      <c r="C153" s="8" t="inlineStr">
        <is>
          <t>Ingrédients &gt; Chocolat</t>
        </is>
      </c>
      <c r="D153" s="8" t="inlineStr">
        <is>
          <t>Gouttes Drops 44%</t>
        </is>
      </c>
      <c r="E153" s="8" t="inlineStr">
        <is>
          <t>DGF</t>
        </is>
      </c>
      <c r="F153" s="8" t="inlineStr">
        <is>
          <t>kg</t>
        </is>
      </c>
      <c r="G153" s="8" t="inlineStr"/>
      <c r="H153" s="14" t="n"/>
      <c r="I153" s="14" t="n">
        <v>0</v>
      </c>
      <c r="J153" s="15" t="n"/>
      <c r="K153" s="16" t="n"/>
      <c r="L153" s="17">
        <f>IF(AND(J153="",K153=""),"",IF(H153="",K153,J153*H153+K153))</f>
        <v/>
      </c>
      <c r="M153" s="17">
        <f>IF(L153="","",L153-I153)</f>
        <v/>
      </c>
      <c r="N153" s="18" t="n">
        <v>100</v>
      </c>
      <c r="O153" s="19">
        <f>IF(L153="","",L153*N153)</f>
        <v/>
      </c>
      <c r="P153" s="19">
        <f>IF(M153="","",M153*N153)</f>
        <v/>
      </c>
      <c r="Q153" s="8" t="n"/>
      <c r="R153" s="8" t="inlineStr">
        <is>
          <t>En stock</t>
        </is>
      </c>
      <c r="S153" s="9" t="n"/>
    </row>
    <row r="154">
      <c r="A154" s="8" t="n">
        <v>148</v>
      </c>
      <c r="B154" s="8" t="inlineStr">
        <is>
          <t>Matières premières</t>
        </is>
      </c>
      <c r="C154" s="8" t="inlineStr">
        <is>
          <t>Ingrédients &gt; Chocolat</t>
        </is>
      </c>
      <c r="D154" s="8" t="inlineStr">
        <is>
          <t>Gouttes drops 50% DGF</t>
        </is>
      </c>
      <c r="E154" s="8" t="inlineStr">
        <is>
          <t>ECOMAB</t>
        </is>
      </c>
      <c r="F154" s="8" t="inlineStr">
        <is>
          <t>kg</t>
        </is>
      </c>
      <c r="G154" s="8" t="inlineStr"/>
      <c r="H154" s="14" t="n"/>
      <c r="I154" s="14" t="n">
        <v>0</v>
      </c>
      <c r="J154" s="15" t="n"/>
      <c r="K154" s="16" t="n"/>
      <c r="L154" s="17">
        <f>IF(AND(J154="",K154=""),"",IF(H154="",K154,J154*H154+K154))</f>
        <v/>
      </c>
      <c r="M154" s="17">
        <f>IF(L154="","",L154-I154)</f>
        <v/>
      </c>
      <c r="N154" s="18" t="n">
        <v>75</v>
      </c>
      <c r="O154" s="19">
        <f>IF(L154="","",L154*N154)</f>
        <v/>
      </c>
      <c r="P154" s="19">
        <f>IF(M154="","",M154*N154)</f>
        <v/>
      </c>
      <c r="Q154" s="8" t="n"/>
      <c r="R154" s="8" t="inlineStr">
        <is>
          <t>En stock</t>
        </is>
      </c>
      <c r="S154" s="9" t="n"/>
    </row>
    <row r="155">
      <c r="A155" s="8" t="n">
        <v>149</v>
      </c>
      <c r="B155" s="8" t="inlineStr">
        <is>
          <t>Matières premières</t>
        </is>
      </c>
      <c r="C155" s="8" t="inlineStr">
        <is>
          <t>Ingrédients &gt; Chocolat</t>
        </is>
      </c>
      <c r="D155" s="8" t="inlineStr">
        <is>
          <t>Pistoles signature blanc VHP</t>
        </is>
      </c>
      <c r="E155" s="8" t="inlineStr">
        <is>
          <t>ECOMAB</t>
        </is>
      </c>
      <c r="F155" s="8" t="inlineStr">
        <is>
          <t>kg</t>
        </is>
      </c>
      <c r="G155" s="8" t="inlineStr"/>
      <c r="H155" s="14" t="n"/>
      <c r="I155" s="14" t="n">
        <v>0</v>
      </c>
      <c r="J155" s="15" t="n"/>
      <c r="K155" s="16" t="n"/>
      <c r="L155" s="17">
        <f>IF(AND(J155="",K155=""),"",IF(H155="",K155,J155*H155+K155))</f>
        <v/>
      </c>
      <c r="M155" s="17">
        <f>IF(L155="","",L155-I155)</f>
        <v/>
      </c>
      <c r="N155" s="18" t="n">
        <v>37.5</v>
      </c>
      <c r="O155" s="19">
        <f>IF(L155="","",L155*N155)</f>
        <v/>
      </c>
      <c r="P155" s="19">
        <f>IF(M155="","",M155*N155)</f>
        <v/>
      </c>
      <c r="Q155" s="8" t="n"/>
      <c r="R155" s="8" t="inlineStr">
        <is>
          <t>Jamais recu</t>
        </is>
      </c>
      <c r="S155" s="9" t="n"/>
    </row>
    <row r="156">
      <c r="A156" s="8" t="n">
        <v>150</v>
      </c>
      <c r="B156" s="8" t="inlineStr">
        <is>
          <t>Matières premières</t>
        </is>
      </c>
      <c r="C156" s="8" t="inlineStr">
        <is>
          <t>Ingrédients &gt; Chocolat</t>
        </is>
      </c>
      <c r="D156" s="8" t="inlineStr">
        <is>
          <t>Pouder cacao</t>
        </is>
      </c>
      <c r="E156" s="8" t="inlineStr"/>
      <c r="F156" s="8" t="inlineStr">
        <is>
          <t>kg</t>
        </is>
      </c>
      <c r="G156" s="8" t="inlineStr"/>
      <c r="H156" s="14" t="n"/>
      <c r="I156" s="14" t="n">
        <v>0</v>
      </c>
      <c r="J156" s="15" t="n"/>
      <c r="K156" s="16" t="n"/>
      <c r="L156" s="17">
        <f>IF(AND(J156="",K156=""),"",IF(H156="",K156,J156*H156+K156))</f>
        <v/>
      </c>
      <c r="M156" s="17">
        <f>IF(L156="","",L156-I156)</f>
        <v/>
      </c>
      <c r="N156" s="18" t="n">
        <v>79.166</v>
      </c>
      <c r="O156" s="19">
        <f>IF(L156="","",L156*N156)</f>
        <v/>
      </c>
      <c r="P156" s="19">
        <f>IF(M156="","",M156*N156)</f>
        <v/>
      </c>
      <c r="Q156" s="8" t="n"/>
      <c r="R156" s="8" t="inlineStr">
        <is>
          <t>Stock a 0</t>
        </is>
      </c>
      <c r="S156" s="9" t="n"/>
    </row>
    <row r="157">
      <c r="A157" s="8" t="n">
        <v>151</v>
      </c>
      <c r="B157" s="8" t="inlineStr">
        <is>
          <t>Matières premières</t>
        </is>
      </c>
      <c r="C157" s="8" t="inlineStr">
        <is>
          <t>Ingrédients &gt; Chocolat</t>
        </is>
      </c>
      <c r="D157" s="8" t="inlineStr">
        <is>
          <t>Tablette Signature Blanc VHP</t>
        </is>
      </c>
      <c r="E157" s="8" t="inlineStr">
        <is>
          <t>VHP</t>
        </is>
      </c>
      <c r="F157" s="8" t="inlineStr">
        <is>
          <t>kg</t>
        </is>
      </c>
      <c r="G157" s="8" t="inlineStr"/>
      <c r="H157" s="14" t="n"/>
      <c r="I157" s="14" t="n">
        <v>0</v>
      </c>
      <c r="J157" s="15" t="n"/>
      <c r="K157" s="16" t="n"/>
      <c r="L157" s="17">
        <f>IF(AND(J157="",K157=""),"",IF(H157="",K157,J157*H157+K157))</f>
        <v/>
      </c>
      <c r="M157" s="17">
        <f>IF(L157="","",L157-I157)</f>
        <v/>
      </c>
      <c r="N157" s="18" t="n">
        <v>35.72</v>
      </c>
      <c r="O157" s="19">
        <f>IF(L157="","",L157*N157)</f>
        <v/>
      </c>
      <c r="P157" s="19">
        <f>IF(M157="","",M157*N157)</f>
        <v/>
      </c>
      <c r="Q157" s="8" t="n"/>
      <c r="R157" s="8" t="inlineStr">
        <is>
          <t>En stock</t>
        </is>
      </c>
      <c r="S157" s="9" t="n"/>
    </row>
    <row r="158">
      <c r="A158" s="8" t="n">
        <v>152</v>
      </c>
      <c r="B158" s="8" t="inlineStr">
        <is>
          <t>Matières premières</t>
        </is>
      </c>
      <c r="C158" s="8" t="inlineStr">
        <is>
          <t>Ingrédients &gt; Chocolat</t>
        </is>
      </c>
      <c r="D158" s="8" t="inlineStr">
        <is>
          <t>Tablette Signature Lait VHP</t>
        </is>
      </c>
      <c r="E158" s="8" t="inlineStr">
        <is>
          <t>VHP</t>
        </is>
      </c>
      <c r="F158" s="8" t="inlineStr">
        <is>
          <t>kg</t>
        </is>
      </c>
      <c r="G158" s="8" t="inlineStr"/>
      <c r="H158" s="14" t="n"/>
      <c r="I158" s="14" t="n">
        <v>0</v>
      </c>
      <c r="J158" s="15" t="n"/>
      <c r="K158" s="30" t="n">
        <v>1</v>
      </c>
      <c r="L158" s="17">
        <f>IF(AND(J158="",K158=""),"",IF(H158="",K158,J158*H158+K158))</f>
        <v/>
      </c>
      <c r="M158" s="17">
        <f>IF(L158="","",L158-I158)</f>
        <v/>
      </c>
      <c r="N158" s="18" t="n">
        <v>35.72</v>
      </c>
      <c r="O158" s="19">
        <f>IF(L158="","",L158*N158)</f>
        <v/>
      </c>
      <c r="P158" s="19">
        <f>IF(M158="","",M158*N158)</f>
        <v/>
      </c>
      <c r="Q158" s="8" t="n"/>
      <c r="R158" s="8" t="inlineStr">
        <is>
          <t>En stock</t>
        </is>
      </c>
      <c r="S158" s="9" t="n"/>
    </row>
    <row r="159">
      <c r="A159" s="8" t="n">
        <v>153</v>
      </c>
      <c r="B159" s="8" t="inlineStr">
        <is>
          <t>Matières premières</t>
        </is>
      </c>
      <c r="C159" s="8" t="inlineStr">
        <is>
          <t>Ingrédients &gt; Chocolat</t>
        </is>
      </c>
      <c r="D159" s="8" t="inlineStr">
        <is>
          <t>Tablette Signature Noir VHP</t>
        </is>
      </c>
      <c r="E159" s="8" t="inlineStr">
        <is>
          <t>VHP</t>
        </is>
      </c>
      <c r="F159" s="8" t="inlineStr">
        <is>
          <t>kg</t>
        </is>
      </c>
      <c r="G159" s="8" t="inlineStr"/>
      <c r="H159" s="14" t="n"/>
      <c r="I159" s="14" t="n">
        <v>0</v>
      </c>
      <c r="J159" s="15" t="n"/>
      <c r="K159" s="30" t="n">
        <v>4</v>
      </c>
      <c r="L159" s="17">
        <f>IF(AND(J159="",K159=""),"",IF(H159="",K159,J159*H159+K159))</f>
        <v/>
      </c>
      <c r="M159" s="17">
        <f>IF(L159="","",L159-I159)</f>
        <v/>
      </c>
      <c r="N159" s="18" t="n">
        <v>35.02</v>
      </c>
      <c r="O159" s="19">
        <f>IF(L159="","",L159*N159)</f>
        <v/>
      </c>
      <c r="P159" s="19">
        <f>IF(M159="","",M159*N159)</f>
        <v/>
      </c>
      <c r="Q159" s="8" t="n"/>
      <c r="R159" s="8" t="inlineStr">
        <is>
          <t>En stock</t>
        </is>
      </c>
      <c r="S159" s="9" t="n"/>
    </row>
    <row r="160">
      <c r="A160" s="8" t="n">
        <v>154</v>
      </c>
      <c r="B160" s="8" t="inlineStr">
        <is>
          <t>Matières premières</t>
        </is>
      </c>
      <c r="C160" s="8" t="inlineStr">
        <is>
          <t>Ingrédients &gt; Chocolat</t>
        </is>
      </c>
      <c r="D160" s="8" t="inlineStr">
        <is>
          <t>Tegral chocolat</t>
        </is>
      </c>
      <c r="E160" s="8" t="inlineStr"/>
      <c r="F160" s="8" t="inlineStr">
        <is>
          <t>kg</t>
        </is>
      </c>
      <c r="G160" s="8" t="inlineStr"/>
      <c r="H160" s="14" t="n"/>
      <c r="I160" s="14" t="n">
        <v>0</v>
      </c>
      <c r="J160" s="15" t="n"/>
      <c r="K160" s="30" t="n">
        <v>18</v>
      </c>
      <c r="L160" s="17">
        <f>IF(AND(J160="",K160=""),"",IF(H160="",K160,J160*H160+K160))</f>
        <v/>
      </c>
      <c r="M160" s="17">
        <f>IF(L160="","",L160-I160)</f>
        <v/>
      </c>
      <c r="N160" s="18" t="n">
        <v>17.7417</v>
      </c>
      <c r="O160" s="19">
        <f>IF(L160="","",L160*N160)</f>
        <v/>
      </c>
      <c r="P160" s="19">
        <f>IF(M160="","",M160*N160)</f>
        <v/>
      </c>
      <c r="Q160" s="8" t="inlineStr">
        <is>
          <t>2027-05-22</t>
        </is>
      </c>
      <c r="R160" s="8" t="inlineStr">
        <is>
          <t>En stock</t>
        </is>
      </c>
      <c r="S160" s="9" t="inlineStr">
        <is>
          <t>carnet : 'Tegrale chocolat'</t>
        </is>
      </c>
    </row>
    <row r="161">
      <c r="A161" s="8" t="n">
        <v>155</v>
      </c>
      <c r="B161" s="8" t="inlineStr">
        <is>
          <t>Matières premières</t>
        </is>
      </c>
      <c r="C161" s="8" t="inlineStr">
        <is>
          <t>Ingrédients &gt; Colorants</t>
        </is>
      </c>
      <c r="D161" s="8" t="inlineStr">
        <is>
          <t>Colorant hydrosoluble Bleu Saphir</t>
        </is>
      </c>
      <c r="E161" s="8" t="inlineStr">
        <is>
          <t>Générique</t>
        </is>
      </c>
      <c r="F161" s="8" t="inlineStr">
        <is>
          <t>kg</t>
        </is>
      </c>
      <c r="G161" s="8" t="inlineStr"/>
      <c r="H161" s="14" t="n"/>
      <c r="I161" s="14" t="n">
        <v>0</v>
      </c>
      <c r="J161" s="15" t="n"/>
      <c r="K161" s="16" t="n"/>
      <c r="L161" s="17">
        <f>IF(AND(J161="",K161=""),"",IF(H161="",K161,J161*H161+K161))</f>
        <v/>
      </c>
      <c r="M161" s="17">
        <f>IF(L161="","",L161-I161)</f>
        <v/>
      </c>
      <c r="N161" s="18" t="n">
        <v>1500</v>
      </c>
      <c r="O161" s="19">
        <f>IF(L161="","",L161*N161)</f>
        <v/>
      </c>
      <c r="P161" s="19">
        <f>IF(M161="","",M161*N161)</f>
        <v/>
      </c>
      <c r="Q161" s="8" t="n"/>
      <c r="R161" s="8" t="inlineStr">
        <is>
          <t>Jamais recu</t>
        </is>
      </c>
      <c r="S161" s="9" t="n"/>
    </row>
    <row r="162">
      <c r="A162" s="8" t="n">
        <v>156</v>
      </c>
      <c r="B162" s="8" t="inlineStr">
        <is>
          <t>Matières premières</t>
        </is>
      </c>
      <c r="C162" s="8" t="inlineStr">
        <is>
          <t>Ingrédients &gt; Colorants</t>
        </is>
      </c>
      <c r="D162" s="8" t="inlineStr">
        <is>
          <t>Colorant hydrosoluble Jaune Ocre</t>
        </is>
      </c>
      <c r="E162" s="8" t="inlineStr">
        <is>
          <t>Générique</t>
        </is>
      </c>
      <c r="F162" s="8" t="inlineStr">
        <is>
          <t>kg</t>
        </is>
      </c>
      <c r="G162" s="8" t="inlineStr"/>
      <c r="H162" s="14" t="n"/>
      <c r="I162" s="14" t="n">
        <v>0</v>
      </c>
      <c r="J162" s="15" t="n"/>
      <c r="K162" s="16" t="n"/>
      <c r="L162" s="17">
        <f>IF(AND(J162="",K162=""),"",IF(H162="",K162,J162*H162+K162))</f>
        <v/>
      </c>
      <c r="M162" s="17">
        <f>IF(L162="","",L162-I162)</f>
        <v/>
      </c>
      <c r="N162" s="18" t="n">
        <v>1375</v>
      </c>
      <c r="O162" s="19">
        <f>IF(L162="","",L162*N162)</f>
        <v/>
      </c>
      <c r="P162" s="19">
        <f>IF(M162="","",M162*N162)</f>
        <v/>
      </c>
      <c r="Q162" s="8" t="n"/>
      <c r="R162" s="8" t="inlineStr">
        <is>
          <t>Jamais recu</t>
        </is>
      </c>
      <c r="S162" s="9" t="n"/>
    </row>
    <row r="163">
      <c r="A163" s="8" t="n">
        <v>157</v>
      </c>
      <c r="B163" s="8" t="inlineStr">
        <is>
          <t>Matières premières</t>
        </is>
      </c>
      <c r="C163" s="8" t="inlineStr">
        <is>
          <t>Ingrédients &gt; Colorants</t>
        </is>
      </c>
      <c r="D163" s="8" t="inlineStr">
        <is>
          <t>Colorant hydrosoluble Jaune Soleil</t>
        </is>
      </c>
      <c r="E163" s="8" t="inlineStr">
        <is>
          <t>Générique</t>
        </is>
      </c>
      <c r="F163" s="8" t="inlineStr">
        <is>
          <t>kg</t>
        </is>
      </c>
      <c r="G163" s="8" t="inlineStr"/>
      <c r="H163" s="14" t="n"/>
      <c r="I163" s="14" t="n">
        <v>0</v>
      </c>
      <c r="J163" s="15" t="n"/>
      <c r="K163" s="16" t="n"/>
      <c r="L163" s="17">
        <f>IF(AND(J163="",K163=""),"",IF(H163="",K163,J163*H163+K163))</f>
        <v/>
      </c>
      <c r="M163" s="17">
        <f>IF(L163="","",L163-I163)</f>
        <v/>
      </c>
      <c r="N163" s="18" t="n">
        <v>1312.5</v>
      </c>
      <c r="O163" s="19">
        <f>IF(L163="","",L163*N163)</f>
        <v/>
      </c>
      <c r="P163" s="19">
        <f>IF(M163="","",M163*N163)</f>
        <v/>
      </c>
      <c r="Q163" s="8" t="n"/>
      <c r="R163" s="8" t="inlineStr">
        <is>
          <t>Jamais recu</t>
        </is>
      </c>
      <c r="S163" s="9" t="n"/>
    </row>
    <row r="164">
      <c r="A164" s="8" t="n">
        <v>158</v>
      </c>
      <c r="B164" s="8" t="inlineStr">
        <is>
          <t>Matières premières</t>
        </is>
      </c>
      <c r="C164" s="8" t="inlineStr">
        <is>
          <t>Ingrédients &gt; Colorants</t>
        </is>
      </c>
      <c r="D164" s="8" t="inlineStr">
        <is>
          <t>Colorant hydrosoluble Rouge Fraise</t>
        </is>
      </c>
      <c r="E164" s="8" t="inlineStr">
        <is>
          <t>Générique</t>
        </is>
      </c>
      <c r="F164" s="8" t="inlineStr">
        <is>
          <t>kg</t>
        </is>
      </c>
      <c r="G164" s="8" t="inlineStr"/>
      <c r="H164" s="14" t="n"/>
      <c r="I164" s="14" t="n">
        <v>0</v>
      </c>
      <c r="J164" s="15" t="n"/>
      <c r="K164" s="16" t="n"/>
      <c r="L164" s="17">
        <f>IF(AND(J164="",K164=""),"",IF(H164="",K164,J164*H164+K164))</f>
        <v/>
      </c>
      <c r="M164" s="17">
        <f>IF(L164="","",L164-I164)</f>
        <v/>
      </c>
      <c r="N164" s="18" t="n">
        <v>1500</v>
      </c>
      <c r="O164" s="19">
        <f>IF(L164="","",L164*N164)</f>
        <v/>
      </c>
      <c r="P164" s="19">
        <f>IF(M164="","",M164*N164)</f>
        <v/>
      </c>
      <c r="Q164" s="8" t="n"/>
      <c r="R164" s="8" t="inlineStr">
        <is>
          <t>Jamais recu</t>
        </is>
      </c>
      <c r="S164" s="9" t="n"/>
    </row>
    <row r="165">
      <c r="A165" s="8" t="n">
        <v>159</v>
      </c>
      <c r="B165" s="8" t="inlineStr">
        <is>
          <t>Matières premières</t>
        </is>
      </c>
      <c r="C165" s="8" t="inlineStr">
        <is>
          <t>Ingrédients &gt; Colorants</t>
        </is>
      </c>
      <c r="D165" s="8" t="inlineStr">
        <is>
          <t>Colorant jaune liposoluble</t>
        </is>
      </c>
      <c r="E165" s="8" t="inlineStr"/>
      <c r="F165" s="8" t="inlineStr">
        <is>
          <t>g</t>
        </is>
      </c>
      <c r="G165" s="8" t="inlineStr"/>
      <c r="H165" s="14" t="n"/>
      <c r="I165" s="14" t="n">
        <v>0</v>
      </c>
      <c r="J165" s="15" t="n"/>
      <c r="K165" s="16" t="n"/>
      <c r="L165" s="17">
        <f>IF(AND(J165="",K165=""),"",IF(H165="",K165,J165*H165+K165))</f>
        <v/>
      </c>
      <c r="M165" s="17">
        <f>IF(L165="","",L165-I165)</f>
        <v/>
      </c>
      <c r="N165" s="18" t="n">
        <v>0</v>
      </c>
      <c r="O165" s="19">
        <f>IF(L165="","",L165*N165)</f>
        <v/>
      </c>
      <c r="P165" s="19">
        <f>IF(M165="","",M165*N165)</f>
        <v/>
      </c>
      <c r="Q165" s="8" t="n"/>
      <c r="R165" s="8" t="inlineStr">
        <is>
          <t>Jamais recu</t>
        </is>
      </c>
      <c r="S165" s="9" t="n"/>
    </row>
    <row r="166">
      <c r="A166" s="8" t="n">
        <v>160</v>
      </c>
      <c r="B166" s="8" t="inlineStr">
        <is>
          <t>Matières premières</t>
        </is>
      </c>
      <c r="C166" s="8" t="inlineStr">
        <is>
          <t>Ingrédients &gt; Colorants</t>
        </is>
      </c>
      <c r="D166" s="8" t="inlineStr">
        <is>
          <t>Colorant liposoluble Jaune Soleil E110</t>
        </is>
      </c>
      <c r="E166" s="8" t="inlineStr">
        <is>
          <t>Générique</t>
        </is>
      </c>
      <c r="F166" s="8" t="inlineStr">
        <is>
          <t>kg</t>
        </is>
      </c>
      <c r="G166" s="8" t="inlineStr"/>
      <c r="H166" s="14" t="n"/>
      <c r="I166" s="14" t="n">
        <v>0</v>
      </c>
      <c r="J166" s="15" t="n"/>
      <c r="K166" s="16" t="n"/>
      <c r="L166" s="17">
        <f>IF(AND(J166="",K166=""),"",IF(H166="",K166,J166*H166+K166))</f>
        <v/>
      </c>
      <c r="M166" s="17">
        <f>IF(L166="","",L166-I166)</f>
        <v/>
      </c>
      <c r="N166" s="18" t="n">
        <v>1312.5</v>
      </c>
      <c r="O166" s="19">
        <f>IF(L166="","",L166*N166)</f>
        <v/>
      </c>
      <c r="P166" s="19">
        <f>IF(M166="","",M166*N166)</f>
        <v/>
      </c>
      <c r="Q166" s="8" t="n"/>
      <c r="R166" s="8" t="inlineStr">
        <is>
          <t>Jamais recu</t>
        </is>
      </c>
      <c r="S166" s="9" t="n"/>
    </row>
    <row r="167">
      <c r="A167" s="8" t="n">
        <v>161</v>
      </c>
      <c r="B167" s="8" t="inlineStr">
        <is>
          <t>Matières premières</t>
        </is>
      </c>
      <c r="C167" s="8" t="inlineStr">
        <is>
          <t>Ingrédients &gt; Colorants</t>
        </is>
      </c>
      <c r="D167" s="8" t="inlineStr">
        <is>
          <t>Colorant liposoluble Rouge Fraise</t>
        </is>
      </c>
      <c r="E167" s="8" t="inlineStr">
        <is>
          <t>Générique</t>
        </is>
      </c>
      <c r="F167" s="8" t="inlineStr">
        <is>
          <t>kg</t>
        </is>
      </c>
      <c r="G167" s="8" t="inlineStr"/>
      <c r="H167" s="14" t="n"/>
      <c r="I167" s="14" t="n">
        <v>0</v>
      </c>
      <c r="J167" s="15" t="n"/>
      <c r="K167" s="16" t="n"/>
      <c r="L167" s="17">
        <f>IF(AND(J167="",K167=""),"",IF(H167="",K167,J167*H167+K167))</f>
        <v/>
      </c>
      <c r="M167" s="17">
        <f>IF(L167="","",L167-I167)</f>
        <v/>
      </c>
      <c r="N167" s="18" t="n">
        <v>3000</v>
      </c>
      <c r="O167" s="19">
        <f>IF(L167="","",L167*N167)</f>
        <v/>
      </c>
      <c r="P167" s="19">
        <f>IF(M167="","",M167*N167)</f>
        <v/>
      </c>
      <c r="Q167" s="8" t="n"/>
      <c r="R167" s="8" t="inlineStr">
        <is>
          <t>Jamais recu</t>
        </is>
      </c>
      <c r="S167" s="9" t="n"/>
    </row>
    <row r="168">
      <c r="A168" s="8" t="n">
        <v>162</v>
      </c>
      <c r="B168" s="8" t="inlineStr">
        <is>
          <t>Matières premières</t>
        </is>
      </c>
      <c r="C168" s="8" t="inlineStr">
        <is>
          <t>Ingrédients &gt; Colorants</t>
        </is>
      </c>
      <c r="D168" s="8" t="inlineStr">
        <is>
          <t>Colorant liposoluble Rouge Framboise</t>
        </is>
      </c>
      <c r="E168" s="8" t="inlineStr">
        <is>
          <t>Générique</t>
        </is>
      </c>
      <c r="F168" s="8" t="inlineStr">
        <is>
          <t>kg</t>
        </is>
      </c>
      <c r="G168" s="8" t="inlineStr"/>
      <c r="H168" s="14" t="n"/>
      <c r="I168" s="14" t="n">
        <v>0</v>
      </c>
      <c r="J168" s="15" t="n"/>
      <c r="K168" s="16" t="n"/>
      <c r="L168" s="17">
        <f>IF(AND(J168="",K168=""),"",IF(H168="",K168,J168*H168+K168))</f>
        <v/>
      </c>
      <c r="M168" s="17">
        <f>IF(L168="","",L168-I168)</f>
        <v/>
      </c>
      <c r="N168" s="18" t="n">
        <v>1541.75</v>
      </c>
      <c r="O168" s="19">
        <f>IF(L168="","",L168*N168)</f>
        <v/>
      </c>
      <c r="P168" s="19">
        <f>IF(M168="","",M168*N168)</f>
        <v/>
      </c>
      <c r="Q168" s="8" t="n"/>
      <c r="R168" s="8" t="inlineStr">
        <is>
          <t>Jamais recu</t>
        </is>
      </c>
      <c r="S168" s="9" t="n"/>
    </row>
    <row r="169">
      <c r="A169" s="8" t="n">
        <v>163</v>
      </c>
      <c r="B169" s="8" t="inlineStr">
        <is>
          <t>Matières premières</t>
        </is>
      </c>
      <c r="C169" s="8" t="inlineStr">
        <is>
          <t>Ingrédients &gt; Colorants</t>
        </is>
      </c>
      <c r="D169" s="8" t="inlineStr">
        <is>
          <t>Colorant poudre jaune</t>
        </is>
      </c>
      <c r="E169" s="8" t="inlineStr"/>
      <c r="F169" s="8" t="inlineStr">
        <is>
          <t>g</t>
        </is>
      </c>
      <c r="G169" s="8" t="inlineStr"/>
      <c r="H169" s="14" t="n"/>
      <c r="I169" s="14" t="n">
        <v>0</v>
      </c>
      <c r="J169" s="15" t="n"/>
      <c r="K169" s="16" t="n"/>
      <c r="L169" s="17">
        <f>IF(AND(J169="",K169=""),"",IF(H169="",K169,J169*H169+K169))</f>
        <v/>
      </c>
      <c r="M169" s="17">
        <f>IF(L169="","",L169-I169)</f>
        <v/>
      </c>
      <c r="N169" s="18" t="n">
        <v>0</v>
      </c>
      <c r="O169" s="19">
        <f>IF(L169="","",L169*N169)</f>
        <v/>
      </c>
      <c r="P169" s="19">
        <f>IF(M169="","",M169*N169)</f>
        <v/>
      </c>
      <c r="Q169" s="8" t="n"/>
      <c r="R169" s="8" t="inlineStr">
        <is>
          <t>Jamais recu</t>
        </is>
      </c>
      <c r="S169" s="9" t="n"/>
    </row>
    <row r="170">
      <c r="A170" s="8" t="n">
        <v>164</v>
      </c>
      <c r="B170" s="8" t="inlineStr">
        <is>
          <t>Matières premières</t>
        </is>
      </c>
      <c r="C170" s="8" t="inlineStr">
        <is>
          <t>Ingrédients &gt; Colorants</t>
        </is>
      </c>
      <c r="D170" s="8" t="inlineStr">
        <is>
          <t>Colorant rose</t>
        </is>
      </c>
      <c r="E170" s="8" t="inlineStr"/>
      <c r="F170" s="8" t="inlineStr">
        <is>
          <t>unit</t>
        </is>
      </c>
      <c r="G170" s="8" t="inlineStr"/>
      <c r="H170" s="14" t="n"/>
      <c r="I170" s="14" t="n">
        <v>0</v>
      </c>
      <c r="J170" s="15" t="n"/>
      <c r="K170" s="16" t="n"/>
      <c r="L170" s="17">
        <f>IF(AND(J170="",K170=""),"",IF(H170="",K170,J170*H170+K170))</f>
        <v/>
      </c>
      <c r="M170" s="17">
        <f>IF(L170="","",L170-I170)</f>
        <v/>
      </c>
      <c r="N170" s="18" t="n">
        <v>28</v>
      </c>
      <c r="O170" s="19">
        <f>IF(L170="","",L170*N170)</f>
        <v/>
      </c>
      <c r="P170" s="19">
        <f>IF(M170="","",M170*N170)</f>
        <v/>
      </c>
      <c r="Q170" s="8" t="n"/>
      <c r="R170" s="8" t="inlineStr">
        <is>
          <t>Stock a 0</t>
        </is>
      </c>
      <c r="S170" s="9" t="n"/>
    </row>
    <row r="171">
      <c r="A171" s="8" t="n">
        <v>165</v>
      </c>
      <c r="B171" s="8" t="inlineStr">
        <is>
          <t>Matières premières</t>
        </is>
      </c>
      <c r="C171" s="8" t="inlineStr">
        <is>
          <t>Ingrédients &gt; Colorants</t>
        </is>
      </c>
      <c r="D171" s="8" t="inlineStr">
        <is>
          <t>Colorant vert hydrosoluble</t>
        </is>
      </c>
      <c r="E171" s="8" t="inlineStr"/>
      <c r="F171" s="8" t="inlineStr">
        <is>
          <t>g</t>
        </is>
      </c>
      <c r="G171" s="8" t="inlineStr"/>
      <c r="H171" s="14" t="n"/>
      <c r="I171" s="14" t="n">
        <v>0</v>
      </c>
      <c r="J171" s="15" t="n"/>
      <c r="K171" s="16" t="n"/>
      <c r="L171" s="17">
        <f>IF(AND(J171="",K171=""),"",IF(H171="",K171,J171*H171+K171))</f>
        <v/>
      </c>
      <c r="M171" s="17">
        <f>IF(L171="","",L171-I171)</f>
        <v/>
      </c>
      <c r="N171" s="18" t="n">
        <v>0</v>
      </c>
      <c r="O171" s="19">
        <f>IF(L171="","",L171*N171)</f>
        <v/>
      </c>
      <c r="P171" s="19">
        <f>IF(M171="","",M171*N171)</f>
        <v/>
      </c>
      <c r="Q171" s="8" t="n"/>
      <c r="R171" s="8" t="inlineStr">
        <is>
          <t>Jamais recu</t>
        </is>
      </c>
      <c r="S171" s="9" t="n"/>
    </row>
    <row r="172">
      <c r="A172" s="8" t="n">
        <v>166</v>
      </c>
      <c r="B172" s="8" t="inlineStr">
        <is>
          <t>Matières premières</t>
        </is>
      </c>
      <c r="C172" s="8" t="inlineStr">
        <is>
          <t>Ingrédients &gt; Conserves</t>
        </is>
      </c>
      <c r="D172" s="8" t="inlineStr">
        <is>
          <t>Champignons noirs</t>
        </is>
      </c>
      <c r="E172" s="8" t="inlineStr">
        <is>
          <t>Générique</t>
        </is>
      </c>
      <c r="F172" s="8" t="inlineStr">
        <is>
          <t>kg</t>
        </is>
      </c>
      <c r="G172" s="8" t="inlineStr"/>
      <c r="H172" s="14" t="n"/>
      <c r="I172" s="14" t="n">
        <v>0</v>
      </c>
      <c r="J172" s="15" t="n"/>
      <c r="K172" s="16" t="n"/>
      <c r="L172" s="17">
        <f>IF(AND(J172="",K172=""),"",IF(H172="",K172,J172*H172+K172))</f>
        <v/>
      </c>
      <c r="M172" s="17">
        <f>IF(L172="","",L172-I172)</f>
        <v/>
      </c>
      <c r="N172" s="18" t="n">
        <v>175</v>
      </c>
      <c r="O172" s="19">
        <f>IF(L172="","",L172*N172)</f>
        <v/>
      </c>
      <c r="P172" s="19">
        <f>IF(M172="","",M172*N172)</f>
        <v/>
      </c>
      <c r="Q172" s="8" t="n"/>
      <c r="R172" s="8" t="inlineStr">
        <is>
          <t>Jamais recu</t>
        </is>
      </c>
      <c r="S172" s="9" t="n"/>
    </row>
    <row r="173">
      <c r="A173" s="8" t="n">
        <v>167</v>
      </c>
      <c r="B173" s="8" t="inlineStr">
        <is>
          <t>Matières premières</t>
        </is>
      </c>
      <c r="C173" s="8" t="inlineStr">
        <is>
          <t>Ingrédients &gt; Conserves</t>
        </is>
      </c>
      <c r="D173" s="8" t="inlineStr">
        <is>
          <t>Citron confuture</t>
        </is>
      </c>
      <c r="E173" s="8" t="inlineStr"/>
      <c r="F173" s="8" t="inlineStr">
        <is>
          <t>unit</t>
        </is>
      </c>
      <c r="G173" s="8" t="inlineStr"/>
      <c r="H173" s="14" t="n"/>
      <c r="I173" s="14" t="n">
        <v>0</v>
      </c>
      <c r="J173" s="15" t="n"/>
      <c r="K173" s="16" t="n"/>
      <c r="L173" s="17">
        <f>IF(AND(J173="",K173=""),"",IF(H173="",K173,J173*H173+K173))</f>
        <v/>
      </c>
      <c r="M173" s="17">
        <f>IF(L173="","",L173-I173)</f>
        <v/>
      </c>
      <c r="N173" s="18" t="n">
        <v>0</v>
      </c>
      <c r="O173" s="19">
        <f>IF(L173="","",L173*N173)</f>
        <v/>
      </c>
      <c r="P173" s="19">
        <f>IF(M173="","",M173*N173)</f>
        <v/>
      </c>
      <c r="Q173" s="8" t="n"/>
      <c r="R173" s="8" t="inlineStr">
        <is>
          <t>Jamais recu</t>
        </is>
      </c>
      <c r="S173" s="9" t="n"/>
    </row>
    <row r="174">
      <c r="A174" s="8" t="n">
        <v>168</v>
      </c>
      <c r="B174" s="8" t="inlineStr">
        <is>
          <t>Matières premières</t>
        </is>
      </c>
      <c r="C174" s="8" t="inlineStr">
        <is>
          <t>Ingrédients &gt; Conserves</t>
        </is>
      </c>
      <c r="D174" s="8" t="inlineStr">
        <is>
          <t>Cornichons (boîte)</t>
        </is>
      </c>
      <c r="E174" s="8" t="inlineStr">
        <is>
          <t>Générique</t>
        </is>
      </c>
      <c r="F174" s="8" t="inlineStr">
        <is>
          <t>unit</t>
        </is>
      </c>
      <c r="G174" s="8" t="inlineStr"/>
      <c r="H174" s="14" t="n"/>
      <c r="I174" s="14" t="n">
        <v>0</v>
      </c>
      <c r="J174" s="15" t="n"/>
      <c r="K174" s="16" t="n"/>
      <c r="L174" s="17">
        <f>IF(AND(J174="",K174=""),"",IF(H174="",K174,J174*H174+K174))</f>
        <v/>
      </c>
      <c r="M174" s="17">
        <f>IF(L174="","",L174-I174)</f>
        <v/>
      </c>
      <c r="N174" s="18" t="n">
        <v>15</v>
      </c>
      <c r="O174" s="19">
        <f>IF(L174="","",L174*N174)</f>
        <v/>
      </c>
      <c r="P174" s="19">
        <f>IF(M174="","",M174*N174)</f>
        <v/>
      </c>
      <c r="Q174" s="8" t="n"/>
      <c r="R174" s="8" t="inlineStr">
        <is>
          <t>En stock</t>
        </is>
      </c>
      <c r="S174" s="9" t="n"/>
    </row>
    <row r="175">
      <c r="A175" s="8" t="n">
        <v>169</v>
      </c>
      <c r="B175" s="8" t="inlineStr">
        <is>
          <t>Matières premières</t>
        </is>
      </c>
      <c r="C175" s="8" t="inlineStr">
        <is>
          <t>Ingrédients &gt; Conserves</t>
        </is>
      </c>
      <c r="D175" s="8" t="inlineStr">
        <is>
          <t>Maïs en grain (boîte)</t>
        </is>
      </c>
      <c r="E175" s="8" t="inlineStr">
        <is>
          <t>Khayrat</t>
        </is>
      </c>
      <c r="F175" s="8" t="inlineStr">
        <is>
          <t>unit</t>
        </is>
      </c>
      <c r="G175" s="8" t="inlineStr"/>
      <c r="H175" s="14" t="n"/>
      <c r="I175" s="14" t="n">
        <v>0</v>
      </c>
      <c r="J175" s="15" t="n"/>
      <c r="K175" s="16" t="n"/>
      <c r="L175" s="17">
        <f>IF(AND(J175="",K175=""),"",IF(H175="",K175,J175*H175+K175))</f>
        <v/>
      </c>
      <c r="M175" s="17">
        <f>IF(L175="","",L175-I175)</f>
        <v/>
      </c>
      <c r="N175" s="18" t="n">
        <v>16.25</v>
      </c>
      <c r="O175" s="19">
        <f>IF(L175="","",L175*N175)</f>
        <v/>
      </c>
      <c r="P175" s="19">
        <f>IF(M175="","",M175*N175)</f>
        <v/>
      </c>
      <c r="Q175" s="8" t="n"/>
      <c r="R175" s="8" t="inlineStr">
        <is>
          <t>Jamais recu</t>
        </is>
      </c>
      <c r="S175" s="9" t="n"/>
    </row>
    <row r="176">
      <c r="A176" s="8" t="n">
        <v>170</v>
      </c>
      <c r="B176" s="8" t="inlineStr">
        <is>
          <t>Matières premières</t>
        </is>
      </c>
      <c r="C176" s="8" t="inlineStr">
        <is>
          <t>Ingrédients &gt; Conserves</t>
        </is>
      </c>
      <c r="D176" s="8" t="inlineStr">
        <is>
          <t>Nestlé</t>
        </is>
      </c>
      <c r="E176" s="8" t="inlineStr"/>
      <c r="F176" s="8" t="inlineStr">
        <is>
          <t>unit</t>
        </is>
      </c>
      <c r="G176" s="8" t="inlineStr"/>
      <c r="H176" s="14" t="n"/>
      <c r="I176" s="14" t="n">
        <v>0</v>
      </c>
      <c r="J176" s="15" t="n"/>
      <c r="K176" s="16" t="n"/>
      <c r="L176" s="17">
        <f>IF(AND(J176="",K176=""),"",IF(H176="",K176,J176*H176+K176))</f>
        <v/>
      </c>
      <c r="M176" s="17">
        <f>IF(L176="","",L176-I176)</f>
        <v/>
      </c>
      <c r="N176" s="18" t="n">
        <v>22</v>
      </c>
      <c r="O176" s="19">
        <f>IF(L176="","",L176*N176)</f>
        <v/>
      </c>
      <c r="P176" s="19">
        <f>IF(M176="","",M176*N176)</f>
        <v/>
      </c>
      <c r="Q176" s="8" t="n"/>
      <c r="R176" s="8" t="inlineStr">
        <is>
          <t>En stock</t>
        </is>
      </c>
      <c r="S176" s="9" t="n"/>
    </row>
    <row r="177">
      <c r="A177" s="8" t="n">
        <v>171</v>
      </c>
      <c r="B177" s="8" t="inlineStr">
        <is>
          <t>Matières premières</t>
        </is>
      </c>
      <c r="C177" s="8" t="inlineStr">
        <is>
          <t>Ingrédients &gt; Conserves</t>
        </is>
      </c>
      <c r="D177" s="8" t="inlineStr">
        <is>
          <t>Thon Tam</t>
        </is>
      </c>
      <c r="E177" s="8" t="inlineStr">
        <is>
          <t>Tam</t>
        </is>
      </c>
      <c r="F177" s="8" t="inlineStr">
        <is>
          <t>kg</t>
        </is>
      </c>
      <c r="G177" s="8" t="inlineStr"/>
      <c r="H177" s="14" t="n"/>
      <c r="I177" s="14" t="n">
        <v>0</v>
      </c>
      <c r="J177" s="15" t="n"/>
      <c r="K177" s="16" t="n"/>
      <c r="L177" s="17">
        <f>IF(AND(J177="",K177=""),"",IF(H177="",K177,J177*H177+K177))</f>
        <v/>
      </c>
      <c r="M177" s="17">
        <f>IF(L177="","",L177-I177)</f>
        <v/>
      </c>
      <c r="N177" s="18" t="n">
        <v>128</v>
      </c>
      <c r="O177" s="19">
        <f>IF(L177="","",L177*N177)</f>
        <v/>
      </c>
      <c r="P177" s="19">
        <f>IF(M177="","",M177*N177)</f>
        <v/>
      </c>
      <c r="Q177" s="8" t="n"/>
      <c r="R177" s="8" t="inlineStr">
        <is>
          <t>Stock a 0</t>
        </is>
      </c>
      <c r="S177" s="9" t="n"/>
    </row>
    <row r="178">
      <c r="A178" s="8" t="n">
        <v>172</v>
      </c>
      <c r="B178" s="8" t="inlineStr">
        <is>
          <t>Matières premières</t>
        </is>
      </c>
      <c r="C178" s="8" t="inlineStr">
        <is>
          <t>Ingrédients &gt; Crèmes (fraîche, liquide, épaisse)</t>
        </is>
      </c>
      <c r="D178" s="8" t="inlineStr">
        <is>
          <t>Creme cheese</t>
        </is>
      </c>
      <c r="E178" s="8" t="inlineStr"/>
      <c r="F178" s="8" t="inlineStr">
        <is>
          <t>unit</t>
        </is>
      </c>
      <c r="G178" s="8" t="inlineStr"/>
      <c r="H178" s="14" t="n"/>
      <c r="I178" s="14" t="n">
        <v>0</v>
      </c>
      <c r="J178" s="15" t="n"/>
      <c r="K178" s="16" t="n"/>
      <c r="L178" s="17">
        <f>IF(AND(J178="",K178=""),"",IF(H178="",K178,J178*H178+K178))</f>
        <v/>
      </c>
      <c r="M178" s="17">
        <f>IF(L178="","",L178-I178)</f>
        <v/>
      </c>
      <c r="N178" s="18" t="n">
        <v>50</v>
      </c>
      <c r="O178" s="19">
        <f>IF(L178="","",L178*N178)</f>
        <v/>
      </c>
      <c r="P178" s="19">
        <f>IF(M178="","",M178*N178)</f>
        <v/>
      </c>
      <c r="Q178" s="8" t="n"/>
      <c r="R178" s="8" t="inlineStr">
        <is>
          <t>En stock</t>
        </is>
      </c>
      <c r="S178" s="9" t="n"/>
    </row>
    <row r="179">
      <c r="A179" s="8" t="n">
        <v>173</v>
      </c>
      <c r="B179" s="8" t="inlineStr">
        <is>
          <t>Matières premières</t>
        </is>
      </c>
      <c r="C179" s="8" t="inlineStr">
        <is>
          <t>Ingrédients &gt; Crèmes (fraîche, liquide, épaisse)</t>
        </is>
      </c>
      <c r="D179" s="8" t="inlineStr">
        <is>
          <t>Creme chocolat</t>
        </is>
      </c>
      <c r="E179" s="8" t="inlineStr"/>
      <c r="F179" s="8" t="inlineStr">
        <is>
          <t>kg</t>
        </is>
      </c>
      <c r="G179" s="8" t="inlineStr"/>
      <c r="H179" s="14" t="n"/>
      <c r="I179" s="14" t="n">
        <v>0</v>
      </c>
      <c r="J179" s="15" t="n"/>
      <c r="K179" s="30" t="n">
        <v>4</v>
      </c>
      <c r="L179" s="17">
        <f>IF(AND(J179="",K179=""),"",IF(H179="",K179,J179*H179+K179))</f>
        <v/>
      </c>
      <c r="M179" s="17">
        <f>IF(L179="","",L179-I179)</f>
        <v/>
      </c>
      <c r="N179" s="18" t="n">
        <v>25.533</v>
      </c>
      <c r="O179" s="19">
        <f>IF(L179="","",L179*N179)</f>
        <v/>
      </c>
      <c r="P179" s="19">
        <f>IF(M179="","",M179*N179)</f>
        <v/>
      </c>
      <c r="Q179" s="8" t="n"/>
      <c r="R179" s="8" t="inlineStr">
        <is>
          <t>En stock</t>
        </is>
      </c>
      <c r="S179" s="9" t="n"/>
    </row>
    <row r="180">
      <c r="A180" s="8" t="n">
        <v>174</v>
      </c>
      <c r="B180" s="8" t="inlineStr">
        <is>
          <t>Matières premières</t>
        </is>
      </c>
      <c r="C180" s="8" t="inlineStr">
        <is>
          <t>Ingrédients &gt; Crèmes (fraîche, liquide, épaisse)</t>
        </is>
      </c>
      <c r="D180" s="8" t="inlineStr">
        <is>
          <t>Creme citron</t>
        </is>
      </c>
      <c r="E180" s="8" t="inlineStr"/>
      <c r="F180" s="8" t="inlineStr">
        <is>
          <t>kg</t>
        </is>
      </c>
      <c r="G180" s="8" t="inlineStr"/>
      <c r="H180" s="14" t="n"/>
      <c r="I180" s="14" t="n">
        <v>0</v>
      </c>
      <c r="J180" s="15" t="n"/>
      <c r="K180" s="16" t="n"/>
      <c r="L180" s="17">
        <f>IF(AND(J180="",K180=""),"",IF(H180="",K180,J180*H180+K180))</f>
        <v/>
      </c>
      <c r="M180" s="17">
        <f>IF(L180="","",L180-I180)</f>
        <v/>
      </c>
      <c r="N180" s="18" t="n">
        <v>28.884</v>
      </c>
      <c r="O180" s="19">
        <f>IF(L180="","",L180*N180)</f>
        <v/>
      </c>
      <c r="P180" s="19">
        <f>IF(M180="","",M180*N180)</f>
        <v/>
      </c>
      <c r="Q180" s="8" t="n"/>
      <c r="R180" s="8" t="inlineStr">
        <is>
          <t>En stock</t>
        </is>
      </c>
      <c r="S180" s="9" t="n"/>
    </row>
    <row r="181">
      <c r="A181" s="8" t="n">
        <v>175</v>
      </c>
      <c r="B181" s="8" t="inlineStr">
        <is>
          <t>Matières premières</t>
        </is>
      </c>
      <c r="C181" s="8" t="inlineStr">
        <is>
          <t>Ingrédients &gt; Crèmes (fraîche, liquide, épaisse)</t>
        </is>
      </c>
      <c r="D181" s="8" t="inlineStr">
        <is>
          <t>Creme de pistach</t>
        </is>
      </c>
      <c r="E181" s="8" t="inlineStr"/>
      <c r="F181" s="8" t="inlineStr">
        <is>
          <t>kg</t>
        </is>
      </c>
      <c r="G181" s="8" t="inlineStr"/>
      <c r="H181" s="14" t="n"/>
      <c r="I181" s="14" t="n">
        <v>0</v>
      </c>
      <c r="J181" s="15" t="n"/>
      <c r="K181" s="16" t="n"/>
      <c r="L181" s="17">
        <f>IF(AND(J181="",K181=""),"",IF(H181="",K181,J181*H181+K181))</f>
        <v/>
      </c>
      <c r="M181" s="17">
        <f>IF(L181="","",L181-I181)</f>
        <v/>
      </c>
      <c r="N181" s="18" t="n">
        <v>97.5</v>
      </c>
      <c r="O181" s="19">
        <f>IF(L181="","",L181*N181)</f>
        <v/>
      </c>
      <c r="P181" s="19">
        <f>IF(M181="","",M181*N181)</f>
        <v/>
      </c>
      <c r="Q181" s="8" t="n"/>
      <c r="R181" s="8" t="inlineStr">
        <is>
          <t>En stock</t>
        </is>
      </c>
      <c r="S181" s="9" t="n"/>
    </row>
    <row r="182">
      <c r="A182" s="8" t="n">
        <v>176</v>
      </c>
      <c r="B182" s="8" t="inlineStr">
        <is>
          <t>Matières premières</t>
        </is>
      </c>
      <c r="C182" s="8" t="inlineStr">
        <is>
          <t>Ingrédients &gt; Crèmes (fraîche, liquide, épaisse)</t>
        </is>
      </c>
      <c r="D182" s="8" t="inlineStr">
        <is>
          <t>Crème cheese</t>
        </is>
      </c>
      <c r="E182" s="8" t="inlineStr"/>
      <c r="F182" s="8" t="inlineStr">
        <is>
          <t>kg</t>
        </is>
      </c>
      <c r="G182" s="8" t="inlineStr"/>
      <c r="H182" s="14" t="n"/>
      <c r="I182" s="14" t="n">
        <v>0</v>
      </c>
      <c r="J182" s="15" t="n"/>
      <c r="K182" s="16" t="n"/>
      <c r="L182" s="17">
        <f>IF(AND(J182="",K182=""),"",IF(H182="",K182,J182*H182+K182))</f>
        <v/>
      </c>
      <c r="M182" s="17">
        <f>IF(L182="","",L182-I182)</f>
        <v/>
      </c>
      <c r="N182" s="18" t="n">
        <v>55.8</v>
      </c>
      <c r="O182" s="19">
        <f>IF(L182="","",L182*N182)</f>
        <v/>
      </c>
      <c r="P182" s="19">
        <f>IF(M182="","",M182*N182)</f>
        <v/>
      </c>
      <c r="Q182" s="8" t="n"/>
      <c r="R182" s="8" t="inlineStr">
        <is>
          <t>En stock</t>
        </is>
      </c>
      <c r="S182" s="9" t="n"/>
    </row>
    <row r="183">
      <c r="A183" s="8" t="n">
        <v>177</v>
      </c>
      <c r="B183" s="8" t="inlineStr">
        <is>
          <t>Matières premières</t>
        </is>
      </c>
      <c r="C183" s="8" t="inlineStr">
        <is>
          <t>Ingrédients &gt; Crèmes (fraîche, liquide, épaisse)</t>
        </is>
      </c>
      <c r="D183" s="8" t="inlineStr">
        <is>
          <t>Crème cheese 33 %</t>
        </is>
      </c>
      <c r="E183" s="8" t="inlineStr"/>
      <c r="F183" s="8" t="inlineStr">
        <is>
          <t>g</t>
        </is>
      </c>
      <c r="G183" s="8" t="inlineStr"/>
      <c r="H183" s="14" t="n"/>
      <c r="I183" s="14" t="n">
        <v>0</v>
      </c>
      <c r="J183" s="15" t="n"/>
      <c r="K183" s="16" t="n"/>
      <c r="L183" s="17">
        <f>IF(AND(J183="",K183=""),"",IF(H183="",K183,J183*H183+K183))</f>
        <v/>
      </c>
      <c r="M183" s="17">
        <f>IF(L183="","",L183-I183)</f>
        <v/>
      </c>
      <c r="N183" s="18" t="n">
        <v>0</v>
      </c>
      <c r="O183" s="19">
        <f>IF(L183="","",L183*N183)</f>
        <v/>
      </c>
      <c r="P183" s="19">
        <f>IF(M183="","",M183*N183)</f>
        <v/>
      </c>
      <c r="Q183" s="8" t="n"/>
      <c r="R183" s="8" t="inlineStr">
        <is>
          <t>Jamais recu</t>
        </is>
      </c>
      <c r="S183" s="9" t="n"/>
    </row>
    <row r="184">
      <c r="A184" s="8" t="n">
        <v>178</v>
      </c>
      <c r="B184" s="8" t="inlineStr">
        <is>
          <t>Matières premières</t>
        </is>
      </c>
      <c r="C184" s="8" t="inlineStr">
        <is>
          <t>Ingrédients &gt; Crèmes (fraîche, liquide, épaisse)</t>
        </is>
      </c>
      <c r="D184" s="8" t="inlineStr">
        <is>
          <t>Crème fraiche</t>
        </is>
      </c>
      <c r="E184" s="8" t="inlineStr"/>
      <c r="F184" s="8" t="inlineStr">
        <is>
          <t>l</t>
        </is>
      </c>
      <c r="G184" s="8" t="inlineStr"/>
      <c r="H184" s="14" t="n"/>
      <c r="I184" s="14" t="n">
        <v>0</v>
      </c>
      <c r="J184" s="15" t="n"/>
      <c r="K184" s="16" t="n"/>
      <c r="L184" s="17">
        <f>IF(AND(J184="",K184=""),"",IF(H184="",K184,J184*H184+K184))</f>
        <v/>
      </c>
      <c r="M184" s="17">
        <f>IF(L184="","",L184-I184)</f>
        <v/>
      </c>
      <c r="N184" s="18" t="n">
        <v>19</v>
      </c>
      <c r="O184" s="19">
        <f>IF(L184="","",L184*N184)</f>
        <v/>
      </c>
      <c r="P184" s="19">
        <f>IF(M184="","",M184*N184)</f>
        <v/>
      </c>
      <c r="Q184" s="8" t="inlineStr">
        <is>
          <t>2027-06-16</t>
        </is>
      </c>
      <c r="R184" s="8" t="inlineStr">
        <is>
          <t>En stock</t>
        </is>
      </c>
      <c r="S184" s="9" t="n"/>
    </row>
    <row r="185">
      <c r="A185" s="8" t="n">
        <v>179</v>
      </c>
      <c r="B185" s="8" t="inlineStr">
        <is>
          <t>Matières premières</t>
        </is>
      </c>
      <c r="C185" s="8" t="inlineStr">
        <is>
          <t>Ingrédients &gt; Crèmes (fraîche, liquide, épaisse)</t>
        </is>
      </c>
      <c r="D185" s="8" t="inlineStr">
        <is>
          <t>Crème patissiere</t>
        </is>
      </c>
      <c r="E185" s="8" t="inlineStr"/>
      <c r="F185" s="8" t="inlineStr">
        <is>
          <t>kg</t>
        </is>
      </c>
      <c r="G185" s="8" t="inlineStr"/>
      <c r="H185" s="14" t="n"/>
      <c r="I185" s="14" t="n">
        <v>0</v>
      </c>
      <c r="J185" s="15" t="n"/>
      <c r="K185" s="16" t="n"/>
      <c r="L185" s="17">
        <f>IF(AND(J185="",K185=""),"",IF(H185="",K185,J185*H185+K185))</f>
        <v/>
      </c>
      <c r="M185" s="17">
        <f>IF(L185="","",L185-I185)</f>
        <v/>
      </c>
      <c r="N185" s="18" t="n">
        <v>9.83</v>
      </c>
      <c r="O185" s="19">
        <f>IF(L185="","",L185*N185)</f>
        <v/>
      </c>
      <c r="P185" s="19">
        <f>IF(M185="","",M185*N185)</f>
        <v/>
      </c>
      <c r="Q185" s="8" t="n"/>
      <c r="R185" s="8" t="inlineStr">
        <is>
          <t>En stock</t>
        </is>
      </c>
      <c r="S185" s="9" t="n"/>
    </row>
    <row r="186">
      <c r="A186" s="8" t="n">
        <v>180</v>
      </c>
      <c r="B186" s="8" t="inlineStr">
        <is>
          <t>Matières premières</t>
        </is>
      </c>
      <c r="C186" s="8" t="inlineStr">
        <is>
          <t>Ingrédients &gt; Crèmes (fraîche, liquide, épaisse)</t>
        </is>
      </c>
      <c r="D186" s="8" t="inlineStr">
        <is>
          <t>Créme cuisson</t>
        </is>
      </c>
      <c r="E186" s="8" t="inlineStr"/>
      <c r="F186" s="8" t="inlineStr">
        <is>
          <t>l</t>
        </is>
      </c>
      <c r="G186" s="8" t="inlineStr"/>
      <c r="H186" s="14" t="n"/>
      <c r="I186" s="14" t="n">
        <v>0</v>
      </c>
      <c r="J186" s="15" t="n"/>
      <c r="K186" s="16" t="n"/>
      <c r="L186" s="17">
        <f>IF(AND(J186="",K186=""),"",IF(H186="",K186,J186*H186+K186))</f>
        <v/>
      </c>
      <c r="M186" s="17">
        <f>IF(L186="","",L186-I186)</f>
        <v/>
      </c>
      <c r="N186" s="18" t="n">
        <v>36</v>
      </c>
      <c r="O186" s="19">
        <f>IF(L186="","",L186*N186)</f>
        <v/>
      </c>
      <c r="P186" s="19">
        <f>IF(M186="","",M186*N186)</f>
        <v/>
      </c>
      <c r="Q186" s="8" t="n"/>
      <c r="R186" s="8" t="inlineStr">
        <is>
          <t>En stock</t>
        </is>
      </c>
      <c r="S186" s="9" t="n"/>
    </row>
    <row r="187">
      <c r="A187" s="8" t="n">
        <v>181</v>
      </c>
      <c r="B187" s="8" t="inlineStr">
        <is>
          <t>Matières premières</t>
        </is>
      </c>
      <c r="C187" s="8" t="inlineStr">
        <is>
          <t>Ingrédients &gt; Décors &amp; Garnitures</t>
        </is>
      </c>
      <c r="D187" s="8" t="inlineStr">
        <is>
          <t>Amarena au sirop lourd</t>
        </is>
      </c>
      <c r="E187" s="8" t="inlineStr">
        <is>
          <t>DGF</t>
        </is>
      </c>
      <c r="F187" s="8" t="inlineStr">
        <is>
          <t>kg</t>
        </is>
      </c>
      <c r="G187" s="8" t="inlineStr"/>
      <c r="H187" s="14" t="n"/>
      <c r="I187" s="14" t="n">
        <v>0</v>
      </c>
      <c r="J187" s="15" t="n"/>
      <c r="K187" s="16" t="n"/>
      <c r="L187" s="17">
        <f>IF(AND(J187="",K187=""),"",IF(H187="",K187,J187*H187+K187))</f>
        <v/>
      </c>
      <c r="M187" s="17">
        <f>IF(L187="","",L187-I187)</f>
        <v/>
      </c>
      <c r="N187" s="18" t="n">
        <v>101.67</v>
      </c>
      <c r="O187" s="19">
        <f>IF(L187="","",L187*N187)</f>
        <v/>
      </c>
      <c r="P187" s="19">
        <f>IF(M187="","",M187*N187)</f>
        <v/>
      </c>
      <c r="Q187" s="8" t="n"/>
      <c r="R187" s="8" t="inlineStr">
        <is>
          <t>Jamais recu</t>
        </is>
      </c>
      <c r="S187" s="9" t="n"/>
    </row>
    <row r="188">
      <c r="A188" s="8" t="n">
        <v>182</v>
      </c>
      <c r="B188" s="8" t="inlineStr">
        <is>
          <t>Matières premières</t>
        </is>
      </c>
      <c r="C188" s="8" t="inlineStr">
        <is>
          <t>Ingrédients &gt; Décors &amp; Garnitures</t>
        </is>
      </c>
      <c r="D188" s="8" t="inlineStr">
        <is>
          <t>Brisure biscuit Royaltine</t>
        </is>
      </c>
      <c r="E188" s="8" t="inlineStr">
        <is>
          <t>DGF</t>
        </is>
      </c>
      <c r="F188" s="8" t="inlineStr">
        <is>
          <t>kg</t>
        </is>
      </c>
      <c r="G188" s="8" t="inlineStr"/>
      <c r="H188" s="14" t="n"/>
      <c r="I188" s="14" t="n">
        <v>0</v>
      </c>
      <c r="J188" s="15" t="n"/>
      <c r="K188" s="16" t="n"/>
      <c r="L188" s="17">
        <f>IF(AND(J188="",K188=""),"",IF(H188="",K188,J188*H188+K188))</f>
        <v/>
      </c>
      <c r="M188" s="17">
        <f>IF(L188="","",L188-I188)</f>
        <v/>
      </c>
      <c r="N188" s="18" t="n">
        <v>87.5</v>
      </c>
      <c r="O188" s="19">
        <f>IF(L188="","",L188*N188)</f>
        <v/>
      </c>
      <c r="P188" s="19">
        <f>IF(M188="","",M188*N188)</f>
        <v/>
      </c>
      <c r="Q188" s="8" t="n"/>
      <c r="R188" s="8" t="inlineStr">
        <is>
          <t>En stock</t>
        </is>
      </c>
      <c r="S188" s="9" t="n"/>
    </row>
    <row r="189">
      <c r="A189" s="8" t="n">
        <v>183</v>
      </c>
      <c r="B189" s="8" t="inlineStr">
        <is>
          <t>Matières premières</t>
        </is>
      </c>
      <c r="C189" s="8" t="inlineStr">
        <is>
          <t>Ingrédients &gt; Décors &amp; Garnitures</t>
        </is>
      </c>
      <c r="D189" s="8" t="inlineStr">
        <is>
          <t>Bâtons boulangers 500 BTS</t>
        </is>
      </c>
      <c r="E189" s="8" t="inlineStr">
        <is>
          <t>DGF</t>
        </is>
      </c>
      <c r="F189" s="8" t="inlineStr">
        <is>
          <t>kg</t>
        </is>
      </c>
      <c r="G189" s="8" t="inlineStr"/>
      <c r="H189" s="14" t="n"/>
      <c r="I189" s="14" t="n">
        <v>0</v>
      </c>
      <c r="J189" s="15" t="n"/>
      <c r="K189" s="16" t="n"/>
      <c r="L189" s="17">
        <f>IF(AND(J189="",K189=""),"",IF(H189="",K189,J189*H189+K189))</f>
        <v/>
      </c>
      <c r="M189" s="17">
        <f>IF(L189="","",L189-I189)</f>
        <v/>
      </c>
      <c r="N189" s="18" t="n">
        <v>92.1875</v>
      </c>
      <c r="O189" s="19">
        <f>IF(L189="","",L189*N189)</f>
        <v/>
      </c>
      <c r="P189" s="19">
        <f>IF(M189="","",M189*N189)</f>
        <v/>
      </c>
      <c r="Q189" s="8" t="n"/>
      <c r="R189" s="8" t="inlineStr">
        <is>
          <t>Jamais recu</t>
        </is>
      </c>
      <c r="S189" s="9" t="n"/>
    </row>
    <row r="190">
      <c r="A190" s="8" t="n">
        <v>184</v>
      </c>
      <c r="B190" s="8" t="inlineStr">
        <is>
          <t>Matières premières</t>
        </is>
      </c>
      <c r="C190" s="8" t="inlineStr">
        <is>
          <t>Ingrédients &gt; Décors &amp; Garnitures</t>
        </is>
      </c>
      <c r="D190" s="8" t="inlineStr">
        <is>
          <t>Compote de pomme VL</t>
        </is>
      </c>
      <c r="E190" s="8" t="inlineStr">
        <is>
          <t>VL</t>
        </is>
      </c>
      <c r="F190" s="8" t="inlineStr">
        <is>
          <t>kg</t>
        </is>
      </c>
      <c r="G190" s="8" t="inlineStr"/>
      <c r="H190" s="14" t="n"/>
      <c r="I190" s="14" t="n">
        <v>0</v>
      </c>
      <c r="J190" s="15" t="n"/>
      <c r="K190" s="16" t="n"/>
      <c r="L190" s="17">
        <f>IF(AND(J190="",K190=""),"",IF(H190="",K190,J190*H190+K190))</f>
        <v/>
      </c>
      <c r="M190" s="17">
        <f>IF(L190="","",L190-I190)</f>
        <v/>
      </c>
      <c r="N190" s="18" t="n">
        <v>30.5882</v>
      </c>
      <c r="O190" s="19">
        <f>IF(L190="","",L190*N190)</f>
        <v/>
      </c>
      <c r="P190" s="19">
        <f>IF(M190="","",M190*N190)</f>
        <v/>
      </c>
      <c r="Q190" s="8" t="n"/>
      <c r="R190" s="8" t="inlineStr">
        <is>
          <t>Jamais recu</t>
        </is>
      </c>
      <c r="S190" s="9" t="n"/>
    </row>
    <row r="191">
      <c r="A191" s="8" t="n">
        <v>185</v>
      </c>
      <c r="B191" s="8" t="inlineStr">
        <is>
          <t>Matières premières</t>
        </is>
      </c>
      <c r="C191" s="8" t="inlineStr">
        <is>
          <t>Ingrédients &gt; Décors &amp; Garnitures</t>
        </is>
      </c>
      <c r="D191" s="8" t="inlineStr">
        <is>
          <t>Feuille guitare</t>
        </is>
      </c>
      <c r="E191" s="8" t="inlineStr"/>
      <c r="F191" s="8" t="inlineStr">
        <is>
          <t>unit</t>
        </is>
      </c>
      <c r="G191" s="8" t="inlineStr"/>
      <c r="H191" s="14" t="n"/>
      <c r="I191" s="14" t="n">
        <v>0</v>
      </c>
      <c r="J191" s="15" t="n"/>
      <c r="K191" s="16" t="n"/>
      <c r="L191" s="17">
        <f>IF(AND(J191="",K191=""),"",IF(H191="",K191,J191*H191+K191))</f>
        <v/>
      </c>
      <c r="M191" s="17">
        <f>IF(L191="","",L191-I191)</f>
        <v/>
      </c>
      <c r="N191" s="18" t="n">
        <v>165</v>
      </c>
      <c r="O191" s="19">
        <f>IF(L191="","",L191*N191)</f>
        <v/>
      </c>
      <c r="P191" s="19">
        <f>IF(M191="","",M191*N191)</f>
        <v/>
      </c>
      <c r="Q191" s="8" t="n"/>
      <c r="R191" s="8" t="inlineStr">
        <is>
          <t>Stock a 0</t>
        </is>
      </c>
      <c r="S191" s="9" t="n"/>
    </row>
    <row r="192">
      <c r="A192" s="8" t="n">
        <v>186</v>
      </c>
      <c r="B192" s="8" t="inlineStr">
        <is>
          <t>Matières premières</t>
        </is>
      </c>
      <c r="C192" s="8" t="inlineStr">
        <is>
          <t>Ingrédients &gt; Décors &amp; Garnitures</t>
        </is>
      </c>
      <c r="D192" s="8" t="inlineStr">
        <is>
          <t>Feuille rhodoide</t>
        </is>
      </c>
      <c r="E192" s="8" t="inlineStr"/>
      <c r="F192" s="8" t="inlineStr">
        <is>
          <t>unit</t>
        </is>
      </c>
      <c r="G192" s="8" t="inlineStr"/>
      <c r="H192" s="14" t="n"/>
      <c r="I192" s="14" t="n">
        <v>0</v>
      </c>
      <c r="J192" s="15" t="n"/>
      <c r="K192" s="16" t="n"/>
      <c r="L192" s="17">
        <f>IF(AND(J192="",K192=""),"",IF(H192="",K192,J192*H192+K192))</f>
        <v/>
      </c>
      <c r="M192" s="17">
        <f>IF(L192="","",L192-I192)</f>
        <v/>
      </c>
      <c r="N192" s="18" t="n">
        <v>70.8</v>
      </c>
      <c r="O192" s="19">
        <f>IF(L192="","",L192*N192)</f>
        <v/>
      </c>
      <c r="P192" s="19">
        <f>IF(M192="","",M192*N192)</f>
        <v/>
      </c>
      <c r="Q192" s="8" t="n"/>
      <c r="R192" s="8" t="inlineStr">
        <is>
          <t>Stock a 0</t>
        </is>
      </c>
      <c r="S192" s="9" t="n"/>
    </row>
    <row r="193">
      <c r="A193" s="8" t="n">
        <v>187</v>
      </c>
      <c r="B193" s="8" t="inlineStr">
        <is>
          <t>Matières premières</t>
        </is>
      </c>
      <c r="C193" s="8" t="inlineStr">
        <is>
          <t>Ingrédients &gt; Décors &amp; Garnitures</t>
        </is>
      </c>
      <c r="D193" s="8" t="inlineStr">
        <is>
          <t>Fondant blac</t>
        </is>
      </c>
      <c r="E193" s="8" t="inlineStr"/>
      <c r="F193" s="8" t="inlineStr">
        <is>
          <t>unit</t>
        </is>
      </c>
      <c r="G193" s="8" t="inlineStr"/>
      <c r="H193" s="14" t="n"/>
      <c r="I193" s="14" t="n">
        <v>0</v>
      </c>
      <c r="J193" s="15" t="n"/>
      <c r="K193" s="16" t="n"/>
      <c r="L193" s="17">
        <f>IF(AND(J193="",K193=""),"",IF(H193="",K193,J193*H193+K193))</f>
        <v/>
      </c>
      <c r="M193" s="17">
        <f>IF(L193="","",L193-I193)</f>
        <v/>
      </c>
      <c r="N193" s="18" t="n">
        <v>54.16</v>
      </c>
      <c r="O193" s="19">
        <f>IF(L193="","",L193*N193)</f>
        <v/>
      </c>
      <c r="P193" s="19">
        <f>IF(M193="","",M193*N193)</f>
        <v/>
      </c>
      <c r="Q193" s="8" t="n"/>
      <c r="R193" s="8" t="inlineStr">
        <is>
          <t>Stock a 0</t>
        </is>
      </c>
      <c r="S193" s="9" t="n"/>
    </row>
    <row r="194">
      <c r="A194" s="8" t="n">
        <v>188</v>
      </c>
      <c r="B194" s="8" t="inlineStr">
        <is>
          <t>Matières premières</t>
        </is>
      </c>
      <c r="C194" s="8" t="inlineStr">
        <is>
          <t>Ingrédients &gt; Décors &amp; Garnitures</t>
        </is>
      </c>
      <c r="D194" s="8" t="inlineStr">
        <is>
          <t>Fruits confits</t>
        </is>
      </c>
      <c r="E194" s="8" t="inlineStr">
        <is>
          <t>Générique</t>
        </is>
      </c>
      <c r="F194" s="8" t="inlineStr">
        <is>
          <t>kg</t>
        </is>
      </c>
      <c r="G194" s="8" t="inlineStr"/>
      <c r="H194" s="14" t="n"/>
      <c r="I194" s="14" t="n">
        <v>0</v>
      </c>
      <c r="J194" s="15" t="n"/>
      <c r="K194" s="16" t="n"/>
      <c r="L194" s="17">
        <f>IF(AND(J194="",K194=""),"",IF(H194="",K194,J194*H194+K194))</f>
        <v/>
      </c>
      <c r="M194" s="17">
        <f>IF(L194="","",L194-I194)</f>
        <v/>
      </c>
      <c r="N194" s="18" t="n">
        <v>120</v>
      </c>
      <c r="O194" s="19">
        <f>IF(L194="","",L194*N194)</f>
        <v/>
      </c>
      <c r="P194" s="19">
        <f>IF(M194="","",M194*N194)</f>
        <v/>
      </c>
      <c r="Q194" s="8" t="n"/>
      <c r="R194" s="8" t="inlineStr">
        <is>
          <t>Jamais recu</t>
        </is>
      </c>
      <c r="S194" s="9" t="n"/>
    </row>
    <row r="195">
      <c r="A195" s="8" t="n">
        <v>189</v>
      </c>
      <c r="B195" s="8" t="inlineStr">
        <is>
          <t>Matières premières</t>
        </is>
      </c>
      <c r="C195" s="8" t="inlineStr">
        <is>
          <t>Ingrédients &gt; Décors &amp; Garnitures</t>
        </is>
      </c>
      <c r="D195" s="8" t="inlineStr">
        <is>
          <t>Gélatine</t>
        </is>
      </c>
      <c r="E195" s="8" t="inlineStr"/>
      <c r="F195" s="8" t="inlineStr">
        <is>
          <t>unit</t>
        </is>
      </c>
      <c r="G195" s="8" t="inlineStr"/>
      <c r="H195" s="14" t="n"/>
      <c r="I195" s="14" t="n">
        <v>0</v>
      </c>
      <c r="J195" s="15" t="n"/>
      <c r="K195" s="16" t="n"/>
      <c r="L195" s="17">
        <f>IF(AND(J195="",K195=""),"",IF(H195="",K195,J195*H195+K195))</f>
        <v/>
      </c>
      <c r="M195" s="17">
        <f>IF(L195="","",L195-I195)</f>
        <v/>
      </c>
      <c r="N195" s="18" t="n">
        <v>280</v>
      </c>
      <c r="O195" s="19">
        <f>IF(L195="","",L195*N195)</f>
        <v/>
      </c>
      <c r="P195" s="19">
        <f>IF(M195="","",M195*N195)</f>
        <v/>
      </c>
      <c r="Q195" s="8" t="n"/>
      <c r="R195" s="8" t="inlineStr">
        <is>
          <t>En stock</t>
        </is>
      </c>
      <c r="S195" s="9" t="n"/>
    </row>
    <row r="196">
      <c r="A196" s="8" t="n">
        <v>190</v>
      </c>
      <c r="B196" s="8" t="inlineStr">
        <is>
          <t>Matières premières</t>
        </is>
      </c>
      <c r="C196" s="8" t="inlineStr">
        <is>
          <t>Ingrédients &gt; Décors &amp; Garnitures</t>
        </is>
      </c>
      <c r="D196" s="8" t="inlineStr">
        <is>
          <t>Nappage</t>
        </is>
      </c>
      <c r="E196" s="8" t="inlineStr"/>
      <c r="F196" s="8" t="inlineStr">
        <is>
          <t>kg</t>
        </is>
      </c>
      <c r="G196" s="8" t="inlineStr"/>
      <c r="H196" s="14" t="n"/>
      <c r="I196" s="14" t="n">
        <v>0</v>
      </c>
      <c r="J196" s="15" t="n"/>
      <c r="K196" s="30" t="n">
        <v>8</v>
      </c>
      <c r="L196" s="17">
        <f>IF(AND(J196="",K196=""),"",IF(H196="",K196,J196*H196+K196))</f>
        <v/>
      </c>
      <c r="M196" s="17">
        <f>IF(L196="","",L196-I196)</f>
        <v/>
      </c>
      <c r="N196" s="18" t="n">
        <v>10</v>
      </c>
      <c r="O196" s="19">
        <f>IF(L196="","",L196*N196)</f>
        <v/>
      </c>
      <c r="P196" s="19">
        <f>IF(M196="","",M196*N196)</f>
        <v/>
      </c>
      <c r="Q196" s="8" t="n"/>
      <c r="R196" s="8" t="inlineStr">
        <is>
          <t>En stock</t>
        </is>
      </c>
      <c r="S196" s="9" t="inlineStr">
        <is>
          <t>distinct de 'Nappage neutre'</t>
        </is>
      </c>
    </row>
    <row r="197">
      <c r="A197" s="8" t="n">
        <v>191</v>
      </c>
      <c r="B197" s="8" t="inlineStr">
        <is>
          <t>Matières premières</t>
        </is>
      </c>
      <c r="C197" s="8" t="inlineStr">
        <is>
          <t>Ingrédients &gt; Décors &amp; Garnitures</t>
        </is>
      </c>
      <c r="D197" s="8" t="inlineStr">
        <is>
          <t>Nappage neutre</t>
        </is>
      </c>
      <c r="E197" s="8" t="inlineStr">
        <is>
          <t>Générique</t>
        </is>
      </c>
      <c r="F197" s="8" t="inlineStr">
        <is>
          <t>kg</t>
        </is>
      </c>
      <c r="G197" s="8" t="inlineStr"/>
      <c r="H197" s="14" t="n"/>
      <c r="I197" s="14" t="n">
        <v>0</v>
      </c>
      <c r="J197" s="15" t="n"/>
      <c r="K197" s="16" t="n"/>
      <c r="L197" s="17">
        <f>IF(AND(J197="",K197=""),"",IF(H197="",K197,J197*H197+K197))</f>
        <v/>
      </c>
      <c r="M197" s="17">
        <f>IF(L197="","",L197-I197)</f>
        <v/>
      </c>
      <c r="N197" s="18" t="n">
        <v>7.7075</v>
      </c>
      <c r="O197" s="19">
        <f>IF(L197="","",L197*N197)</f>
        <v/>
      </c>
      <c r="P197" s="19">
        <f>IF(M197="","",M197*N197)</f>
        <v/>
      </c>
      <c r="Q197" s="8" t="inlineStr">
        <is>
          <t>2027-06-12</t>
        </is>
      </c>
      <c r="R197" s="8" t="inlineStr">
        <is>
          <t>En stock</t>
        </is>
      </c>
      <c r="S197" s="9" t="n"/>
    </row>
    <row r="198">
      <c r="A198" s="8" t="n">
        <v>192</v>
      </c>
      <c r="B198" s="8" t="inlineStr">
        <is>
          <t>Matières premières</t>
        </is>
      </c>
      <c r="C198" s="8" t="inlineStr">
        <is>
          <t>Ingrédients &gt; Décors &amp; Garnitures</t>
        </is>
      </c>
      <c r="D198" s="8" t="inlineStr">
        <is>
          <t>Noisette</t>
        </is>
      </c>
      <c r="E198" s="8" t="inlineStr"/>
      <c r="F198" s="8" t="inlineStr">
        <is>
          <t>kg</t>
        </is>
      </c>
      <c r="G198" s="8" t="inlineStr"/>
      <c r="H198" s="14" t="n"/>
      <c r="I198" s="14" t="n">
        <v>0</v>
      </c>
      <c r="J198" s="15" t="n"/>
      <c r="K198" s="16" t="n"/>
      <c r="L198" s="17">
        <f>IF(AND(J198="",K198=""),"",IF(H198="",K198,J198*H198+K198))</f>
        <v/>
      </c>
      <c r="M198" s="17">
        <f>IF(L198="","",L198-I198)</f>
        <v/>
      </c>
      <c r="N198" s="18" t="n">
        <v>2</v>
      </c>
      <c r="O198" s="19">
        <f>IF(L198="","",L198*N198)</f>
        <v/>
      </c>
      <c r="P198" s="19">
        <f>IF(M198="","",M198*N198)</f>
        <v/>
      </c>
      <c r="Q198" s="8" t="n"/>
      <c r="R198" s="8" t="inlineStr">
        <is>
          <t>Stock a 0</t>
        </is>
      </c>
      <c r="S198" s="9" t="n"/>
    </row>
    <row r="199">
      <c r="A199" s="8" t="n">
        <v>193</v>
      </c>
      <c r="B199" s="8" t="inlineStr">
        <is>
          <t>Matières premières</t>
        </is>
      </c>
      <c r="C199" s="8" t="inlineStr">
        <is>
          <t>Ingrédients &gt; Décors &amp; Garnitures</t>
        </is>
      </c>
      <c r="D199" s="8" t="inlineStr">
        <is>
          <t>Praliné amande</t>
        </is>
      </c>
      <c r="E199" s="8" t="inlineStr"/>
      <c r="F199" s="8" t="inlineStr">
        <is>
          <t>unit</t>
        </is>
      </c>
      <c r="G199" s="8" t="inlineStr"/>
      <c r="H199" s="14" t="n"/>
      <c r="I199" s="14" t="n">
        <v>0</v>
      </c>
      <c r="J199" s="15" t="n"/>
      <c r="K199" s="16" t="n"/>
      <c r="L199" s="17">
        <f>IF(AND(J199="",K199=""),"",IF(H199="",K199,J199*H199+K199))</f>
        <v/>
      </c>
      <c r="M199" s="17">
        <f>IF(L199="","",L199-I199)</f>
        <v/>
      </c>
      <c r="N199" s="18" t="n">
        <v>265.83</v>
      </c>
      <c r="O199" s="19">
        <f>IF(L199="","",L199*N199)</f>
        <v/>
      </c>
      <c r="P199" s="19">
        <f>IF(M199="","",M199*N199)</f>
        <v/>
      </c>
      <c r="Q199" s="8" t="n"/>
      <c r="R199" s="8" t="inlineStr">
        <is>
          <t>Stock a 0</t>
        </is>
      </c>
      <c r="S199" s="9" t="n"/>
    </row>
    <row r="200">
      <c r="A200" s="8" t="n">
        <v>194</v>
      </c>
      <c r="B200" s="8" t="inlineStr">
        <is>
          <t>Matières premières</t>
        </is>
      </c>
      <c r="C200" s="8" t="inlineStr">
        <is>
          <t>Ingrédients &gt; Décors &amp; Garnitures</t>
        </is>
      </c>
      <c r="D200" s="8" t="inlineStr">
        <is>
          <t>Pâte À Glacier Blanche</t>
        </is>
      </c>
      <c r="E200" s="8" t="inlineStr">
        <is>
          <t>ECOMAB</t>
        </is>
      </c>
      <c r="F200" s="8" t="inlineStr">
        <is>
          <t>kg</t>
        </is>
      </c>
      <c r="G200" s="8" t="inlineStr"/>
      <c r="H200" s="14" t="n"/>
      <c r="I200" s="14" t="n">
        <v>0</v>
      </c>
      <c r="J200" s="15" t="n"/>
      <c r="K200" s="16" t="n"/>
      <c r="L200" s="17">
        <f>IF(AND(J200="",K200=""),"",IF(H200="",K200,J200*H200+K200))</f>
        <v/>
      </c>
      <c r="M200" s="17">
        <f>IF(L200="","",L200-I200)</f>
        <v/>
      </c>
      <c r="N200" s="18" t="n">
        <v>35.72</v>
      </c>
      <c r="O200" s="19">
        <f>IF(L200="","",L200*N200)</f>
        <v/>
      </c>
      <c r="P200" s="19">
        <f>IF(M200="","",M200*N200)</f>
        <v/>
      </c>
      <c r="Q200" s="8" t="n"/>
      <c r="R200" s="8" t="inlineStr">
        <is>
          <t>Jamais recu</t>
        </is>
      </c>
      <c r="S200" s="9" t="n"/>
    </row>
    <row r="201">
      <c r="A201" s="8" t="n">
        <v>195</v>
      </c>
      <c r="B201" s="8" t="inlineStr">
        <is>
          <t>Matières premières</t>
        </is>
      </c>
      <c r="C201" s="8" t="inlineStr">
        <is>
          <t>Ingrédients &gt; Décors &amp; Garnitures</t>
        </is>
      </c>
      <c r="D201" s="8" t="inlineStr">
        <is>
          <t>Tegral vanille</t>
        </is>
      </c>
      <c r="E201" s="8" t="inlineStr"/>
      <c r="F201" s="8" t="inlineStr">
        <is>
          <t>kg</t>
        </is>
      </c>
      <c r="G201" s="8" t="inlineStr"/>
      <c r="H201" s="14" t="n"/>
      <c r="I201" s="14" t="n">
        <v>0</v>
      </c>
      <c r="J201" s="15" t="n"/>
      <c r="K201" s="16" t="n"/>
      <c r="L201" s="17">
        <f>IF(AND(J201="",K201=""),"",IF(H201="",K201,J201*H201+K201))</f>
        <v/>
      </c>
      <c r="M201" s="17">
        <f>IF(L201="","",L201-I201)</f>
        <v/>
      </c>
      <c r="N201" s="18" t="n">
        <v>15.0167</v>
      </c>
      <c r="O201" s="19">
        <f>IF(L201="","",L201*N201)</f>
        <v/>
      </c>
      <c r="P201" s="19">
        <f>IF(M201="","",M201*N201)</f>
        <v/>
      </c>
      <c r="Q201" s="8" t="inlineStr">
        <is>
          <t>2027-06-03</t>
        </is>
      </c>
      <c r="R201" s="8" t="inlineStr">
        <is>
          <t>En stock</t>
        </is>
      </c>
      <c r="S201" s="9" t="n"/>
    </row>
    <row r="202">
      <c r="A202" s="8" t="n">
        <v>196</v>
      </c>
      <c r="B202" s="8" t="inlineStr">
        <is>
          <t>Matières premières</t>
        </is>
      </c>
      <c r="C202" s="8" t="inlineStr">
        <is>
          <t>Ingrédients &gt; Epices &amp; aromes</t>
        </is>
      </c>
      <c r="D202" s="8" t="inlineStr">
        <is>
          <t>Ail en poudre</t>
        </is>
      </c>
      <c r="E202" s="8" t="inlineStr">
        <is>
          <t>Duchef</t>
        </is>
      </c>
      <c r="F202" s="8" t="inlineStr">
        <is>
          <t>kg</t>
        </is>
      </c>
      <c r="G202" s="8" t="inlineStr"/>
      <c r="H202" s="14" t="n"/>
      <c r="I202" s="14" t="n">
        <v>0</v>
      </c>
      <c r="J202" s="15" t="n"/>
      <c r="K202" s="16" t="n"/>
      <c r="L202" s="17">
        <f>IF(AND(J202="",K202=""),"",IF(H202="",K202,J202*H202+K202))</f>
        <v/>
      </c>
      <c r="M202" s="17">
        <f>IF(L202="","",L202-I202)</f>
        <v/>
      </c>
      <c r="N202" s="18" t="n">
        <v>70</v>
      </c>
      <c r="O202" s="19">
        <f>IF(L202="","",L202*N202)</f>
        <v/>
      </c>
      <c r="P202" s="19">
        <f>IF(M202="","",M202*N202)</f>
        <v/>
      </c>
      <c r="Q202" s="8" t="n"/>
      <c r="R202" s="8" t="inlineStr">
        <is>
          <t>Jamais recu</t>
        </is>
      </c>
      <c r="S202" s="9" t="n"/>
    </row>
    <row r="203">
      <c r="A203" s="8" t="n">
        <v>197</v>
      </c>
      <c r="B203" s="8" t="inlineStr">
        <is>
          <t>Matières premières</t>
        </is>
      </c>
      <c r="C203" s="8" t="inlineStr">
        <is>
          <t>Ingrédients &gt; Epices &amp; aromes</t>
        </is>
      </c>
      <c r="D203" s="8" t="inlineStr">
        <is>
          <t>Arome vanille</t>
        </is>
      </c>
      <c r="E203" s="8" t="inlineStr"/>
      <c r="F203" s="8" t="inlineStr">
        <is>
          <t>unit</t>
        </is>
      </c>
      <c r="G203" s="8" t="inlineStr"/>
      <c r="H203" s="14" t="n"/>
      <c r="I203" s="14" t="n">
        <v>0</v>
      </c>
      <c r="J203" s="15" t="n"/>
      <c r="K203" s="16" t="n"/>
      <c r="L203" s="17">
        <f>IF(AND(J203="",K203=""),"",IF(H203="",K203,J203*H203+K203))</f>
        <v/>
      </c>
      <c r="M203" s="17">
        <f>IF(L203="","",L203-I203)</f>
        <v/>
      </c>
      <c r="N203" s="18" t="n">
        <v>150</v>
      </c>
      <c r="O203" s="19">
        <f>IF(L203="","",L203*N203)</f>
        <v/>
      </c>
      <c r="P203" s="19">
        <f>IF(M203="","",M203*N203)</f>
        <v/>
      </c>
      <c r="Q203" s="8" t="n"/>
      <c r="R203" s="8" t="inlineStr">
        <is>
          <t>Stock a 0</t>
        </is>
      </c>
      <c r="S203" s="9" t="n"/>
    </row>
    <row r="204">
      <c r="A204" s="8" t="n">
        <v>198</v>
      </c>
      <c r="B204" s="8" t="inlineStr">
        <is>
          <t>Matières premières</t>
        </is>
      </c>
      <c r="C204" s="8" t="inlineStr">
        <is>
          <t>Ingrédients &gt; Epices &amp; aromes</t>
        </is>
      </c>
      <c r="D204" s="8" t="inlineStr">
        <is>
          <t>Arôme Orange</t>
        </is>
      </c>
      <c r="E204" s="8" t="inlineStr"/>
      <c r="F204" s="8" t="inlineStr">
        <is>
          <t>g</t>
        </is>
      </c>
      <c r="G204" s="8" t="inlineStr"/>
      <c r="H204" s="14" t="n"/>
      <c r="I204" s="14" t="n">
        <v>0</v>
      </c>
      <c r="J204" s="15" t="n"/>
      <c r="K204" s="16" t="n"/>
      <c r="L204" s="17">
        <f>IF(AND(J204="",K204=""),"",IF(H204="",K204,J204*H204+K204))</f>
        <v/>
      </c>
      <c r="M204" s="17">
        <f>IF(L204="","",L204-I204)</f>
        <v/>
      </c>
      <c r="N204" s="18" t="n">
        <v>2</v>
      </c>
      <c r="O204" s="19">
        <f>IF(L204="","",L204*N204)</f>
        <v/>
      </c>
      <c r="P204" s="19">
        <f>IF(M204="","",M204*N204)</f>
        <v/>
      </c>
      <c r="Q204" s="8" t="n"/>
      <c r="R204" s="8" t="inlineStr">
        <is>
          <t>Jamais recu</t>
        </is>
      </c>
      <c r="S204" s="9" t="n"/>
    </row>
    <row r="205">
      <c r="A205" s="8" t="n">
        <v>199</v>
      </c>
      <c r="B205" s="8" t="inlineStr">
        <is>
          <t>Matières premières</t>
        </is>
      </c>
      <c r="C205" s="8" t="inlineStr">
        <is>
          <t>Ingrédients &gt; Epices &amp; aromes</t>
        </is>
      </c>
      <c r="D205" s="8" t="inlineStr">
        <is>
          <t>Arôme coco</t>
        </is>
      </c>
      <c r="E205" s="8" t="inlineStr"/>
      <c r="F205" s="8" t="inlineStr">
        <is>
          <t>g</t>
        </is>
      </c>
      <c r="G205" s="8" t="inlineStr"/>
      <c r="H205" s="14" t="n"/>
      <c r="I205" s="14" t="n">
        <v>0</v>
      </c>
      <c r="J205" s="15" t="n"/>
      <c r="K205" s="16" t="n"/>
      <c r="L205" s="17">
        <f>IF(AND(J205="",K205=""),"",IF(H205="",K205,J205*H205+K205))</f>
        <v/>
      </c>
      <c r="M205" s="17">
        <f>IF(L205="","",L205-I205)</f>
        <v/>
      </c>
      <c r="N205" s="18" t="n">
        <v>0</v>
      </c>
      <c r="O205" s="19">
        <f>IF(L205="","",L205*N205)</f>
        <v/>
      </c>
      <c r="P205" s="19">
        <f>IF(M205="","",M205*N205)</f>
        <v/>
      </c>
      <c r="Q205" s="8" t="n"/>
      <c r="R205" s="8" t="inlineStr">
        <is>
          <t>Jamais recu</t>
        </is>
      </c>
      <c r="S205" s="9" t="n"/>
    </row>
    <row r="206">
      <c r="A206" s="8" t="n">
        <v>200</v>
      </c>
      <c r="B206" s="8" t="inlineStr">
        <is>
          <t>Matières premières</t>
        </is>
      </c>
      <c r="C206" s="8" t="inlineStr">
        <is>
          <t>Ingrédients &gt; Epices &amp; aromes</t>
        </is>
      </c>
      <c r="D206" s="8" t="inlineStr">
        <is>
          <t>Arôme vanille intense 1022</t>
        </is>
      </c>
      <c r="E206" s="8" t="inlineStr">
        <is>
          <t>Prova</t>
        </is>
      </c>
      <c r="F206" s="8" t="inlineStr">
        <is>
          <t>kg</t>
        </is>
      </c>
      <c r="G206" s="8" t="inlineStr"/>
      <c r="H206" s="14" t="n"/>
      <c r="I206" s="14" t="n">
        <v>0</v>
      </c>
      <c r="J206" s="15" t="n"/>
      <c r="K206" s="16" t="n"/>
      <c r="L206" s="17">
        <f>IF(AND(J206="",K206=""),"",IF(H206="",K206,J206*H206+K206))</f>
        <v/>
      </c>
      <c r="M206" s="17">
        <f>IF(L206="","",L206-I206)</f>
        <v/>
      </c>
      <c r="N206" s="18" t="n">
        <v>150</v>
      </c>
      <c r="O206" s="19">
        <f>IF(L206="","",L206*N206)</f>
        <v/>
      </c>
      <c r="P206" s="19">
        <f>IF(M206="","",M206*N206)</f>
        <v/>
      </c>
      <c r="Q206" s="8" t="n"/>
      <c r="R206" s="8" t="inlineStr">
        <is>
          <t>En stock</t>
        </is>
      </c>
      <c r="S206" s="9" t="n"/>
    </row>
    <row r="207">
      <c r="A207" s="8" t="n">
        <v>201</v>
      </c>
      <c r="B207" s="8" t="inlineStr">
        <is>
          <t>Matières premières</t>
        </is>
      </c>
      <c r="C207" s="8" t="inlineStr">
        <is>
          <t>Ingrédients &gt; Epices &amp; aromes</t>
        </is>
      </c>
      <c r="D207" s="8" t="inlineStr">
        <is>
          <t>Cannelle moulue</t>
        </is>
      </c>
      <c r="E207" s="8" t="inlineStr">
        <is>
          <t>Duchef</t>
        </is>
      </c>
      <c r="F207" s="8" t="inlineStr">
        <is>
          <t>kg</t>
        </is>
      </c>
      <c r="G207" s="8" t="inlineStr"/>
      <c r="H207" s="14" t="n"/>
      <c r="I207" s="14" t="n">
        <v>0</v>
      </c>
      <c r="J207" s="15" t="n"/>
      <c r="K207" s="16" t="n"/>
      <c r="L207" s="17">
        <f>IF(AND(J207="",K207=""),"",IF(H207="",K207,J207*H207+K207))</f>
        <v/>
      </c>
      <c r="M207" s="17">
        <f>IF(L207="","",L207-I207)</f>
        <v/>
      </c>
      <c r="N207" s="18" t="n">
        <v>15</v>
      </c>
      <c r="O207" s="19">
        <f>IF(L207="","",L207*N207)</f>
        <v/>
      </c>
      <c r="P207" s="19">
        <f>IF(M207="","",M207*N207)</f>
        <v/>
      </c>
      <c r="Q207" s="8" t="n"/>
      <c r="R207" s="8" t="inlineStr">
        <is>
          <t>En stock</t>
        </is>
      </c>
      <c r="S207" s="9" t="n"/>
    </row>
    <row r="208">
      <c r="A208" s="8" t="n">
        <v>202</v>
      </c>
      <c r="B208" s="8" t="inlineStr">
        <is>
          <t>Matières premières</t>
        </is>
      </c>
      <c r="C208" s="8" t="inlineStr">
        <is>
          <t>Ingrédients &gt; Epices &amp; aromes</t>
        </is>
      </c>
      <c r="D208" s="8" t="inlineStr">
        <is>
          <t>Caramel / colorant caramel</t>
        </is>
      </c>
      <c r="E208" s="8" t="inlineStr"/>
      <c r="F208" s="8" t="inlineStr">
        <is>
          <t>g</t>
        </is>
      </c>
      <c r="G208" s="8" t="inlineStr"/>
      <c r="H208" s="14" t="n"/>
      <c r="I208" s="14" t="n">
        <v>0</v>
      </c>
      <c r="J208" s="15" t="n"/>
      <c r="K208" s="16" t="n"/>
      <c r="L208" s="17">
        <f>IF(AND(J208="",K208=""),"",IF(H208="",K208,J208*H208+K208))</f>
        <v/>
      </c>
      <c r="M208" s="17">
        <f>IF(L208="","",L208-I208)</f>
        <v/>
      </c>
      <c r="N208" s="18" t="n">
        <v>0</v>
      </c>
      <c r="O208" s="19">
        <f>IF(L208="","",L208*N208)</f>
        <v/>
      </c>
      <c r="P208" s="19">
        <f>IF(M208="","",M208*N208)</f>
        <v/>
      </c>
      <c r="Q208" s="8" t="n"/>
      <c r="R208" s="8" t="inlineStr">
        <is>
          <t>Jamais recu</t>
        </is>
      </c>
      <c r="S208" s="9" t="n"/>
    </row>
    <row r="209">
      <c r="A209" s="8" t="n">
        <v>203</v>
      </c>
      <c r="B209" s="8" t="inlineStr">
        <is>
          <t>Matières premières</t>
        </is>
      </c>
      <c r="C209" s="8" t="inlineStr">
        <is>
          <t>Ingrédients &gt; Epices &amp; aromes</t>
        </is>
      </c>
      <c r="D209" s="8" t="inlineStr">
        <is>
          <t>Cumin du pays</t>
        </is>
      </c>
      <c r="E209" s="8" t="inlineStr"/>
      <c r="F209" s="8" t="inlineStr">
        <is>
          <t>g</t>
        </is>
      </c>
      <c r="G209" s="8" t="inlineStr"/>
      <c r="H209" s="14" t="n"/>
      <c r="I209" s="14" t="n">
        <v>0</v>
      </c>
      <c r="J209" s="15" t="n"/>
      <c r="K209" s="16" t="n"/>
      <c r="L209" s="17">
        <f>IF(AND(J209="",K209=""),"",IF(H209="",K209,J209*H209+K209))</f>
        <v/>
      </c>
      <c r="M209" s="17">
        <f>IF(L209="","",L209-I209)</f>
        <v/>
      </c>
      <c r="N209" s="18" t="n">
        <v>0.09</v>
      </c>
      <c r="O209" s="19">
        <f>IF(L209="","",L209*N209)</f>
        <v/>
      </c>
      <c r="P209" s="19">
        <f>IF(M209="","",M209*N209)</f>
        <v/>
      </c>
      <c r="Q209" s="8" t="n"/>
      <c r="R209" s="8" t="inlineStr">
        <is>
          <t>Stock a 0</t>
        </is>
      </c>
      <c r="S209" s="9" t="n"/>
    </row>
    <row r="210">
      <c r="A210" s="8" t="n">
        <v>204</v>
      </c>
      <c r="B210" s="8" t="inlineStr">
        <is>
          <t>Matières premières</t>
        </is>
      </c>
      <c r="C210" s="8" t="inlineStr">
        <is>
          <t>Ingrédients &gt; Epices &amp; aromes</t>
        </is>
      </c>
      <c r="D210" s="8" t="inlineStr">
        <is>
          <t>Cumin moulu</t>
        </is>
      </c>
      <c r="E210" s="8" t="inlineStr">
        <is>
          <t>Duchef</t>
        </is>
      </c>
      <c r="F210" s="8" t="inlineStr">
        <is>
          <t>kg</t>
        </is>
      </c>
      <c r="G210" s="8" t="inlineStr"/>
      <c r="H210" s="14" t="n"/>
      <c r="I210" s="14" t="n">
        <v>0</v>
      </c>
      <c r="J210" s="15" t="n"/>
      <c r="K210" s="16" t="n"/>
      <c r="L210" s="17">
        <f>IF(AND(J210="",K210=""),"",IF(H210="",K210,J210*H210+K210))</f>
        <v/>
      </c>
      <c r="M210" s="17">
        <f>IF(L210="","",L210-I210)</f>
        <v/>
      </c>
      <c r="N210" s="18" t="n">
        <v>63.32</v>
      </c>
      <c r="O210" s="19">
        <f>IF(L210="","",L210*N210)</f>
        <v/>
      </c>
      <c r="P210" s="19">
        <f>IF(M210="","",M210*N210)</f>
        <v/>
      </c>
      <c r="Q210" s="8" t="n"/>
      <c r="R210" s="8" t="inlineStr">
        <is>
          <t>Jamais recu</t>
        </is>
      </c>
      <c r="S210" s="9" t="n"/>
    </row>
    <row r="211">
      <c r="A211" s="8" t="n">
        <v>205</v>
      </c>
      <c r="B211" s="8" t="inlineStr">
        <is>
          <t>Matières premières</t>
        </is>
      </c>
      <c r="C211" s="8" t="inlineStr">
        <is>
          <t>Ingrédients &gt; Epices &amp; aromes</t>
        </is>
      </c>
      <c r="D211" s="8" t="inlineStr">
        <is>
          <t>Curcuma moulu</t>
        </is>
      </c>
      <c r="E211" s="8" t="inlineStr">
        <is>
          <t>Duchef</t>
        </is>
      </c>
      <c r="F211" s="8" t="inlineStr">
        <is>
          <t>kg</t>
        </is>
      </c>
      <c r="G211" s="8" t="inlineStr"/>
      <c r="H211" s="14" t="n"/>
      <c r="I211" s="14" t="n">
        <v>0</v>
      </c>
      <c r="J211" s="15" t="n"/>
      <c r="K211" s="16" t="n"/>
      <c r="L211" s="17">
        <f>IF(AND(J211="",K211=""),"",IF(H211="",K211,J211*H211+K211))</f>
        <v/>
      </c>
      <c r="M211" s="17">
        <f>IF(L211="","",L211-I211)</f>
        <v/>
      </c>
      <c r="N211" s="18" t="n">
        <v>30</v>
      </c>
      <c r="O211" s="19">
        <f>IF(L211="","",L211*N211)</f>
        <v/>
      </c>
      <c r="P211" s="19">
        <f>IF(M211="","",M211*N211)</f>
        <v/>
      </c>
      <c r="Q211" s="8" t="n"/>
      <c r="R211" s="8" t="inlineStr">
        <is>
          <t>Jamais recu</t>
        </is>
      </c>
      <c r="S211" s="9" t="n"/>
    </row>
    <row r="212">
      <c r="A212" s="8" t="n">
        <v>206</v>
      </c>
      <c r="B212" s="8" t="inlineStr">
        <is>
          <t>Matières premières</t>
        </is>
      </c>
      <c r="C212" s="8" t="inlineStr">
        <is>
          <t>Ingrédients &gt; Epices &amp; aromes</t>
        </is>
      </c>
      <c r="D212" s="8" t="inlineStr">
        <is>
          <t>Eau de fleur d'oranger</t>
        </is>
      </c>
      <c r="E212" s="8" t="inlineStr"/>
      <c r="F212" s="8" t="inlineStr">
        <is>
          <t>unit</t>
        </is>
      </c>
      <c r="G212" s="8" t="inlineStr"/>
      <c r="H212" s="14" t="n"/>
      <c r="I212" s="14" t="n">
        <v>0</v>
      </c>
      <c r="J212" s="15" t="n"/>
      <c r="K212" s="16" t="n"/>
      <c r="L212" s="17">
        <f>IF(AND(J212="",K212=""),"",IF(H212="",K212,J212*H212+K212))</f>
        <v/>
      </c>
      <c r="M212" s="17">
        <f>IF(L212="","",L212-I212)</f>
        <v/>
      </c>
      <c r="N212" s="18" t="n">
        <v>235</v>
      </c>
      <c r="O212" s="19">
        <f>IF(L212="","",L212*N212)</f>
        <v/>
      </c>
      <c r="P212" s="19">
        <f>IF(M212="","",M212*N212)</f>
        <v/>
      </c>
      <c r="Q212" s="8" t="n"/>
      <c r="R212" s="8" t="inlineStr">
        <is>
          <t>En stock</t>
        </is>
      </c>
      <c r="S212" s="9" t="n"/>
    </row>
    <row r="213">
      <c r="A213" s="8" t="n">
        <v>207</v>
      </c>
      <c r="B213" s="8" t="inlineStr">
        <is>
          <t>Matières premières</t>
        </is>
      </c>
      <c r="C213" s="8" t="inlineStr">
        <is>
          <t>Ingrédients &gt; Epices &amp; aromes</t>
        </is>
      </c>
      <c r="D213" s="8" t="inlineStr">
        <is>
          <t>Extrait de café liquide</t>
        </is>
      </c>
      <c r="E213" s="8" t="inlineStr">
        <is>
          <t>Générique</t>
        </is>
      </c>
      <c r="F213" s="8" t="inlineStr">
        <is>
          <t>l</t>
        </is>
      </c>
      <c r="G213" s="8" t="inlineStr"/>
      <c r="H213" s="14" t="n"/>
      <c r="I213" s="14" t="n">
        <v>0</v>
      </c>
      <c r="J213" s="15" t="n"/>
      <c r="K213" s="16" t="n"/>
      <c r="L213" s="17">
        <f>IF(AND(J213="",K213=""),"",IF(H213="",K213,J213*H213+K213))</f>
        <v/>
      </c>
      <c r="M213" s="17">
        <f>IF(L213="","",L213-I213)</f>
        <v/>
      </c>
      <c r="N213" s="18" t="n">
        <v>291.67</v>
      </c>
      <c r="O213" s="19">
        <f>IF(L213="","",L213*N213)</f>
        <v/>
      </c>
      <c r="P213" s="19">
        <f>IF(M213="","",M213*N213)</f>
        <v/>
      </c>
      <c r="Q213" s="8" t="n"/>
      <c r="R213" s="8" t="inlineStr">
        <is>
          <t>En stock</t>
        </is>
      </c>
      <c r="S213" s="9" t="n"/>
    </row>
    <row r="214">
      <c r="A214" s="8" t="n">
        <v>208</v>
      </c>
      <c r="B214" s="8" t="inlineStr">
        <is>
          <t>Matières premières</t>
        </is>
      </c>
      <c r="C214" s="8" t="inlineStr">
        <is>
          <t>Ingrédients &gt; Epices &amp; aromes</t>
        </is>
      </c>
      <c r="D214" s="8" t="inlineStr">
        <is>
          <t>Gingembre moulu</t>
        </is>
      </c>
      <c r="E214" s="8" t="inlineStr">
        <is>
          <t>Duchef</t>
        </is>
      </c>
      <c r="F214" s="8" t="inlineStr">
        <is>
          <t>kg</t>
        </is>
      </c>
      <c r="G214" s="8" t="inlineStr"/>
      <c r="H214" s="14" t="n"/>
      <c r="I214" s="14" t="n">
        <v>0</v>
      </c>
      <c r="J214" s="15" t="n"/>
      <c r="K214" s="16" t="n"/>
      <c r="L214" s="17">
        <f>IF(AND(J214="",K214=""),"",IF(H214="",K214,J214*H214+K214))</f>
        <v/>
      </c>
      <c r="M214" s="17">
        <f>IF(L214="","",L214-I214)</f>
        <v/>
      </c>
      <c r="N214" s="18" t="n">
        <v>38.4</v>
      </c>
      <c r="O214" s="19">
        <f>IF(L214="","",L214*N214)</f>
        <v/>
      </c>
      <c r="P214" s="19">
        <f>IF(M214="","",M214*N214)</f>
        <v/>
      </c>
      <c r="Q214" s="8" t="n"/>
      <c r="R214" s="8" t="inlineStr">
        <is>
          <t>Jamais recu</t>
        </is>
      </c>
      <c r="S214" s="9" t="n"/>
    </row>
    <row r="215">
      <c r="A215" s="8" t="n">
        <v>209</v>
      </c>
      <c r="B215" s="8" t="inlineStr">
        <is>
          <t>Matières premières</t>
        </is>
      </c>
      <c r="C215" s="8" t="inlineStr">
        <is>
          <t>Ingrédients &gt; Epices &amp; aromes</t>
        </is>
      </c>
      <c r="D215" s="8" t="inlineStr">
        <is>
          <t>Mélange d'épices pour kefta</t>
        </is>
      </c>
      <c r="E215" s="8" t="inlineStr"/>
      <c r="F215" s="8" t="inlineStr">
        <is>
          <t>g</t>
        </is>
      </c>
      <c r="G215" s="8" t="inlineStr"/>
      <c r="H215" s="14" t="n"/>
      <c r="I215" s="14" t="n">
        <v>0</v>
      </c>
      <c r="J215" s="15" t="n"/>
      <c r="K215" s="16" t="n"/>
      <c r="L215" s="17">
        <f>IF(AND(J215="",K215=""),"",IF(H215="",K215,J215*H215+K215))</f>
        <v/>
      </c>
      <c r="M215" s="17">
        <f>IF(L215="","",L215-I215)</f>
        <v/>
      </c>
      <c r="N215" s="18" t="n">
        <v>0.06</v>
      </c>
      <c r="O215" s="19">
        <f>IF(L215="","",L215*N215)</f>
        <v/>
      </c>
      <c r="P215" s="19">
        <f>IF(M215="","",M215*N215)</f>
        <v/>
      </c>
      <c r="Q215" s="8" t="n"/>
      <c r="R215" s="8" t="inlineStr">
        <is>
          <t>En stock</t>
        </is>
      </c>
      <c r="S215" s="9" t="n"/>
    </row>
    <row r="216">
      <c r="A216" s="8" t="n">
        <v>210</v>
      </c>
      <c r="B216" s="8" t="inlineStr">
        <is>
          <t>Matières premières</t>
        </is>
      </c>
      <c r="C216" s="8" t="inlineStr">
        <is>
          <t>Ingrédients &gt; Epices &amp; aromes</t>
        </is>
      </c>
      <c r="D216" s="8" t="inlineStr">
        <is>
          <t>Paprika fumée</t>
        </is>
      </c>
      <c r="E216" s="8" t="inlineStr">
        <is>
          <t>Duchef</t>
        </is>
      </c>
      <c r="F216" s="8" t="inlineStr">
        <is>
          <t>kg</t>
        </is>
      </c>
      <c r="G216" s="8" t="inlineStr"/>
      <c r="H216" s="14" t="n"/>
      <c r="I216" s="14" t="n">
        <v>0</v>
      </c>
      <c r="J216" s="15" t="n"/>
      <c r="K216" s="16" t="n"/>
      <c r="L216" s="17">
        <f>IF(AND(J216="",K216=""),"",IF(H216="",K216,J216*H216+K216))</f>
        <v/>
      </c>
      <c r="M216" s="17">
        <f>IF(L216="","",L216-I216)</f>
        <v/>
      </c>
      <c r="N216" s="18" t="n">
        <v>143</v>
      </c>
      <c r="O216" s="19">
        <f>IF(L216="","",L216*N216)</f>
        <v/>
      </c>
      <c r="P216" s="19">
        <f>IF(M216="","",M216*N216)</f>
        <v/>
      </c>
      <c r="Q216" s="8" t="n"/>
      <c r="R216" s="8" t="inlineStr">
        <is>
          <t>Jamais recu</t>
        </is>
      </c>
      <c r="S216" s="9" t="n"/>
    </row>
    <row r="217">
      <c r="A217" s="8" t="n">
        <v>211</v>
      </c>
      <c r="B217" s="8" t="inlineStr">
        <is>
          <t>Matières premières</t>
        </is>
      </c>
      <c r="C217" s="8" t="inlineStr">
        <is>
          <t>Ingrédients &gt; Epices &amp; aromes</t>
        </is>
      </c>
      <c r="D217" s="8" t="inlineStr">
        <is>
          <t>Piment doux</t>
        </is>
      </c>
      <c r="E217" s="8" t="inlineStr">
        <is>
          <t>Duchef</t>
        </is>
      </c>
      <c r="F217" s="8" t="inlineStr">
        <is>
          <t>kg</t>
        </is>
      </c>
      <c r="G217" s="8" t="inlineStr"/>
      <c r="H217" s="14" t="n"/>
      <c r="I217" s="14" t="n">
        <v>0</v>
      </c>
      <c r="J217" s="15" t="n"/>
      <c r="K217" s="16" t="n"/>
      <c r="L217" s="17">
        <f>IF(AND(J217="",K217=""),"",IF(H217="",K217,J217*H217+K217))</f>
        <v/>
      </c>
      <c r="M217" s="17">
        <f>IF(L217="","",L217-I217)</f>
        <v/>
      </c>
      <c r="N217" s="18" t="n">
        <v>50</v>
      </c>
      <c r="O217" s="19">
        <f>IF(L217="","",L217*N217)</f>
        <v/>
      </c>
      <c r="P217" s="19">
        <f>IF(M217="","",M217*N217)</f>
        <v/>
      </c>
      <c r="Q217" s="8" t="n"/>
      <c r="R217" s="8" t="inlineStr">
        <is>
          <t>Jamais recu</t>
        </is>
      </c>
      <c r="S217" s="9" t="n"/>
    </row>
    <row r="218">
      <c r="A218" s="8" t="n">
        <v>212</v>
      </c>
      <c r="B218" s="8" t="inlineStr">
        <is>
          <t>Matières premières</t>
        </is>
      </c>
      <c r="C218" s="8" t="inlineStr">
        <is>
          <t>Ingrédients &gt; Epices &amp; aromes</t>
        </is>
      </c>
      <c r="D218" s="8" t="inlineStr">
        <is>
          <t>Piment fort</t>
        </is>
      </c>
      <c r="E218" s="8" t="inlineStr">
        <is>
          <t>Duchef</t>
        </is>
      </c>
      <c r="F218" s="8" t="inlineStr">
        <is>
          <t>kg</t>
        </is>
      </c>
      <c r="G218" s="8" t="inlineStr"/>
      <c r="H218" s="14" t="n"/>
      <c r="I218" s="14" t="n">
        <v>0</v>
      </c>
      <c r="J218" s="15" t="n"/>
      <c r="K218" s="16" t="n"/>
      <c r="L218" s="17">
        <f>IF(AND(J218="",K218=""),"",IF(H218="",K218,J218*H218+K218))</f>
        <v/>
      </c>
      <c r="M218" s="17">
        <f>IF(L218="","",L218-I218)</f>
        <v/>
      </c>
      <c r="N218" s="18" t="n">
        <v>47.4</v>
      </c>
      <c r="O218" s="19">
        <f>IF(L218="","",L218*N218)</f>
        <v/>
      </c>
      <c r="P218" s="19">
        <f>IF(M218="","",M218*N218)</f>
        <v/>
      </c>
      <c r="Q218" s="8" t="n"/>
      <c r="R218" s="8" t="inlineStr">
        <is>
          <t>Jamais recu</t>
        </is>
      </c>
      <c r="S218" s="9" t="n"/>
    </row>
    <row r="219">
      <c r="A219" s="8" t="n">
        <v>213</v>
      </c>
      <c r="B219" s="8" t="inlineStr">
        <is>
          <t>Matières premières</t>
        </is>
      </c>
      <c r="C219" s="8" t="inlineStr">
        <is>
          <t>Ingrédients &gt; Epices &amp; aromes</t>
        </is>
      </c>
      <c r="D219" s="8" t="inlineStr">
        <is>
          <t>Poivre noir moulu</t>
        </is>
      </c>
      <c r="E219" s="8" t="inlineStr">
        <is>
          <t>Duchef</t>
        </is>
      </c>
      <c r="F219" s="8" t="inlineStr">
        <is>
          <t>kg</t>
        </is>
      </c>
      <c r="G219" s="8" t="inlineStr"/>
      <c r="H219" s="14" t="n"/>
      <c r="I219" s="14" t="n">
        <v>0</v>
      </c>
      <c r="J219" s="15" t="n"/>
      <c r="K219" s="16" t="n"/>
      <c r="L219" s="17">
        <f>IF(AND(J219="",K219=""),"",IF(H219="",K219,J219*H219+K219))</f>
        <v/>
      </c>
      <c r="M219" s="17">
        <f>IF(L219="","",L219-I219)</f>
        <v/>
      </c>
      <c r="N219" s="18" t="n">
        <v>91.68000000000001</v>
      </c>
      <c r="O219" s="19">
        <f>IF(L219="","",L219*N219)</f>
        <v/>
      </c>
      <c r="P219" s="19">
        <f>IF(M219="","",M219*N219)</f>
        <v/>
      </c>
      <c r="Q219" s="8" t="n"/>
      <c r="R219" s="8" t="inlineStr">
        <is>
          <t>Jamais recu</t>
        </is>
      </c>
      <c r="S219" s="9" t="n"/>
    </row>
    <row r="220">
      <c r="A220" s="8" t="n">
        <v>214</v>
      </c>
      <c r="B220" s="8" t="inlineStr">
        <is>
          <t>Matières premières</t>
        </is>
      </c>
      <c r="C220" s="8" t="inlineStr">
        <is>
          <t>Ingrédients &gt; Epices &amp; aromes</t>
        </is>
      </c>
      <c r="D220" s="8" t="inlineStr">
        <is>
          <t>Vanille Idéal</t>
        </is>
      </c>
      <c r="E220" s="8" t="inlineStr"/>
      <c r="F220" s="8" t="inlineStr">
        <is>
          <t>unit</t>
        </is>
      </c>
      <c r="G220" s="8" t="inlineStr"/>
      <c r="H220" s="14" t="n"/>
      <c r="I220" s="14" t="n">
        <v>0</v>
      </c>
      <c r="J220" s="15" t="n"/>
      <c r="K220" s="16" t="n"/>
      <c r="L220" s="17">
        <f>IF(AND(J220="",K220=""),"",IF(H220="",K220,J220*H220+K220))</f>
        <v/>
      </c>
      <c r="M220" s="17">
        <f>IF(L220="","",L220-I220)</f>
        <v/>
      </c>
      <c r="N220" s="18" t="n">
        <v>1</v>
      </c>
      <c r="O220" s="19">
        <f>IF(L220="","",L220*N220)</f>
        <v/>
      </c>
      <c r="P220" s="19">
        <f>IF(M220="","",M220*N220)</f>
        <v/>
      </c>
      <c r="Q220" s="8" t="n"/>
      <c r="R220" s="8" t="inlineStr">
        <is>
          <t>Jamais recu</t>
        </is>
      </c>
      <c r="S220" s="9" t="n"/>
    </row>
    <row r="221">
      <c r="A221" s="8" t="n">
        <v>215</v>
      </c>
      <c r="B221" s="8" t="inlineStr">
        <is>
          <t>Matières premières</t>
        </is>
      </c>
      <c r="C221" s="8" t="inlineStr">
        <is>
          <t>Ingrédients &gt; Farines</t>
        </is>
      </c>
      <c r="D221" s="8" t="inlineStr">
        <is>
          <t>Améliorant Viennoiserie</t>
        </is>
      </c>
      <c r="E221" s="8" t="inlineStr">
        <is>
          <t>Générique</t>
        </is>
      </c>
      <c r="F221" s="8" t="inlineStr">
        <is>
          <t>kg</t>
        </is>
      </c>
      <c r="G221" s="8" t="inlineStr"/>
      <c r="H221" s="14" t="n"/>
      <c r="I221" s="14" t="n">
        <v>0</v>
      </c>
      <c r="J221" s="15" t="n"/>
      <c r="K221" s="16" t="n"/>
      <c r="L221" s="17">
        <f>IF(AND(J221="",K221=""),"",IF(H221="",K221,J221*H221+K221))</f>
        <v/>
      </c>
      <c r="M221" s="17">
        <f>IF(L221="","",L221-I221)</f>
        <v/>
      </c>
      <c r="N221" s="18" t="n">
        <v>5</v>
      </c>
      <c r="O221" s="19">
        <f>IF(L221="","",L221*N221)</f>
        <v/>
      </c>
      <c r="P221" s="19">
        <f>IF(M221="","",M221*N221)</f>
        <v/>
      </c>
      <c r="Q221" s="8" t="n"/>
      <c r="R221" s="8" t="inlineStr">
        <is>
          <t>Jamais recu</t>
        </is>
      </c>
      <c r="S221" s="9" t="n"/>
    </row>
    <row r="222">
      <c r="A222" s="8" t="n">
        <v>216</v>
      </c>
      <c r="B222" s="8" t="inlineStr">
        <is>
          <t>Matières premières</t>
        </is>
      </c>
      <c r="C222" s="8" t="inlineStr">
        <is>
          <t>Ingrédients &gt; Farines</t>
        </is>
      </c>
      <c r="D222" s="8" t="inlineStr">
        <is>
          <t>Farine Complète</t>
        </is>
      </c>
      <c r="E222" s="8" t="inlineStr">
        <is>
          <t>Générique</t>
        </is>
      </c>
      <c r="F222" s="8" t="inlineStr">
        <is>
          <t>kg</t>
        </is>
      </c>
      <c r="G222" s="8" t="inlineStr">
        <is>
          <t>Sac</t>
        </is>
      </c>
      <c r="H222" s="14" t="n">
        <v>25</v>
      </c>
      <c r="I222" s="14" t="n">
        <v>0</v>
      </c>
      <c r="J222" s="15" t="n"/>
      <c r="K222" s="16" t="n"/>
      <c r="L222" s="17">
        <f>IF(AND(J222="",K222=""),"",IF(H222="",K222,J222*H222+K222))</f>
        <v/>
      </c>
      <c r="M222" s="17">
        <f>IF(L222="","",L222-I222)</f>
        <v/>
      </c>
      <c r="N222" s="18" t="n">
        <v>3.9</v>
      </c>
      <c r="O222" s="19">
        <f>IF(L222="","",L222*N222)</f>
        <v/>
      </c>
      <c r="P222" s="19">
        <f>IF(M222="","",M222*N222)</f>
        <v/>
      </c>
      <c r="Q222" s="8" t="n"/>
      <c r="R222" s="8" t="inlineStr">
        <is>
          <t>En stock</t>
        </is>
      </c>
      <c r="S222" s="9" t="n"/>
    </row>
    <row r="223">
      <c r="A223" s="8" t="n">
        <v>217</v>
      </c>
      <c r="B223" s="8" t="inlineStr">
        <is>
          <t>Matières premières</t>
        </is>
      </c>
      <c r="C223" s="8" t="inlineStr">
        <is>
          <t>Ingrédients &gt; Farines</t>
        </is>
      </c>
      <c r="D223" s="8" t="inlineStr">
        <is>
          <t>Farine Fleur</t>
        </is>
      </c>
      <c r="E223" s="8" t="inlineStr">
        <is>
          <t>Générique</t>
        </is>
      </c>
      <c r="F223" s="8" t="inlineStr">
        <is>
          <t>kg</t>
        </is>
      </c>
      <c r="G223" s="8" t="inlineStr"/>
      <c r="H223" s="14" t="n"/>
      <c r="I223" s="14" t="n">
        <v>0</v>
      </c>
      <c r="J223" s="15" t="n"/>
      <c r="K223" s="16" t="n"/>
      <c r="L223" s="17">
        <f>IF(AND(J223="",K223=""),"",IF(H223="",K223,J223*H223+K223))</f>
        <v/>
      </c>
      <c r="M223" s="17">
        <f>IF(L223="","",L223-I223)</f>
        <v/>
      </c>
      <c r="N223" s="18" t="n">
        <v>4.1</v>
      </c>
      <c r="O223" s="19">
        <f>IF(L223="","",L223*N223)</f>
        <v/>
      </c>
      <c r="P223" s="19">
        <f>IF(M223="","",M223*N223)</f>
        <v/>
      </c>
      <c r="Q223" s="8" t="n"/>
      <c r="R223" s="8" t="inlineStr">
        <is>
          <t>En stock</t>
        </is>
      </c>
      <c r="S223" s="9" t="n"/>
    </row>
    <row r="224">
      <c r="A224" s="8" t="n">
        <v>218</v>
      </c>
      <c r="B224" s="8" t="inlineStr">
        <is>
          <t>Matières premières</t>
        </is>
      </c>
      <c r="C224" s="8" t="inlineStr">
        <is>
          <t>Ingrédients &gt; Farines</t>
        </is>
      </c>
      <c r="D224" s="8" t="inlineStr">
        <is>
          <t>Farine Soisson</t>
        </is>
      </c>
      <c r="E224" s="8" t="inlineStr">
        <is>
          <t>Soisson</t>
        </is>
      </c>
      <c r="F224" s="8" t="inlineStr">
        <is>
          <t>kg</t>
        </is>
      </c>
      <c r="G224" s="8" t="inlineStr">
        <is>
          <t>Sac</t>
        </is>
      </c>
      <c r="H224" s="14" t="n">
        <v>25</v>
      </c>
      <c r="I224" s="14" t="n">
        <v>0</v>
      </c>
      <c r="J224" s="15" t="n"/>
      <c r="K224" s="16" t="n"/>
      <c r="L224" s="17">
        <f>IF(AND(J224="",K224=""),"",IF(H224="",K224,J224*H224+K224))</f>
        <v/>
      </c>
      <c r="M224" s="17">
        <f>IF(L224="","",L224-I224)</f>
        <v/>
      </c>
      <c r="N224" s="18" t="n">
        <v>3.55</v>
      </c>
      <c r="O224" s="19">
        <f>IF(L224="","",L224*N224)</f>
        <v/>
      </c>
      <c r="P224" s="19">
        <f>IF(M224="","",M224*N224)</f>
        <v/>
      </c>
      <c r="Q224" s="8" t="n"/>
      <c r="R224" s="8" t="inlineStr">
        <is>
          <t>En stock</t>
        </is>
      </c>
      <c r="S224" s="9" t="n"/>
    </row>
    <row r="225">
      <c r="A225" s="8" t="n">
        <v>219</v>
      </c>
      <c r="B225" s="8" t="inlineStr">
        <is>
          <t>Matières premières</t>
        </is>
      </c>
      <c r="C225" s="8" t="inlineStr">
        <is>
          <t>Ingrédients &gt; Farines</t>
        </is>
      </c>
      <c r="D225" s="8" t="inlineStr">
        <is>
          <t>Farine boulangerie</t>
        </is>
      </c>
      <c r="E225" s="8" t="inlineStr">
        <is>
          <t>RICA MAROC</t>
        </is>
      </c>
      <c r="F225" s="8" t="inlineStr">
        <is>
          <t>kg</t>
        </is>
      </c>
      <c r="G225" s="8" t="inlineStr">
        <is>
          <t>Sac</t>
        </is>
      </c>
      <c r="H225" s="14" t="n">
        <v>25</v>
      </c>
      <c r="I225" s="14" t="n">
        <v>0</v>
      </c>
      <c r="J225" s="15" t="n"/>
      <c r="K225" s="16" t="n"/>
      <c r="L225" s="17">
        <f>IF(AND(J225="",K225=""),"",IF(H225="",K225,J225*H225+K225))</f>
        <v/>
      </c>
      <c r="M225" s="17">
        <f>IF(L225="","",L225-I225)</f>
        <v/>
      </c>
      <c r="N225" s="18" t="n">
        <v>3.4</v>
      </c>
      <c r="O225" s="19">
        <f>IF(L225="","",L225*N225)</f>
        <v/>
      </c>
      <c r="P225" s="19">
        <f>IF(M225="","",M225*N225)</f>
        <v/>
      </c>
      <c r="Q225" s="8" t="n"/>
      <c r="R225" s="8" t="inlineStr">
        <is>
          <t>En stock</t>
        </is>
      </c>
      <c r="S225" s="9" t="n"/>
    </row>
    <row r="226">
      <c r="A226" s="8" t="n">
        <v>220</v>
      </c>
      <c r="B226" s="8" t="inlineStr">
        <is>
          <t>Matières premières</t>
        </is>
      </c>
      <c r="C226" s="8" t="inlineStr">
        <is>
          <t>Ingrédients &gt; Farines</t>
        </is>
      </c>
      <c r="D226" s="8" t="inlineStr">
        <is>
          <t>Farine d'orge</t>
        </is>
      </c>
      <c r="E226" s="8" t="inlineStr">
        <is>
          <t>Générique</t>
        </is>
      </c>
      <c r="F226" s="8" t="inlineStr">
        <is>
          <t>kg</t>
        </is>
      </c>
      <c r="G226" s="8" t="inlineStr"/>
      <c r="H226" s="14" t="n"/>
      <c r="I226" s="14" t="n">
        <v>0</v>
      </c>
      <c r="J226" s="15" t="n"/>
      <c r="K226" s="16" t="n"/>
      <c r="L226" s="17">
        <f>IF(AND(J226="",K226=""),"",IF(H226="",K226,J226*H226+K226))</f>
        <v/>
      </c>
      <c r="M226" s="17">
        <f>IF(L226="","",L226-I226)</f>
        <v/>
      </c>
      <c r="N226" s="18" t="n">
        <v>6</v>
      </c>
      <c r="O226" s="19">
        <f>IF(L226="","",L226*N226)</f>
        <v/>
      </c>
      <c r="P226" s="19">
        <f>IF(M226="","",M226*N226)</f>
        <v/>
      </c>
      <c r="Q226" s="8" t="n"/>
      <c r="R226" s="8" t="inlineStr">
        <is>
          <t>En stock</t>
        </is>
      </c>
      <c r="S226" s="9" t="n"/>
    </row>
    <row r="227">
      <c r="A227" s="8" t="n">
        <v>221</v>
      </c>
      <c r="B227" s="8" t="inlineStr">
        <is>
          <t>Matières premières</t>
        </is>
      </c>
      <c r="C227" s="8" t="inlineStr">
        <is>
          <t>Ingrédients &gt; Farines</t>
        </is>
      </c>
      <c r="D227" s="8" t="inlineStr">
        <is>
          <t>Farine de maïs</t>
        </is>
      </c>
      <c r="E227" s="8" t="inlineStr">
        <is>
          <t>Générique</t>
        </is>
      </c>
      <c r="F227" s="8" t="inlineStr">
        <is>
          <t>kg</t>
        </is>
      </c>
      <c r="G227" s="8" t="inlineStr">
        <is>
          <t>Sac</t>
        </is>
      </c>
      <c r="H227" s="14" t="n">
        <v>25</v>
      </c>
      <c r="I227" s="14" t="n">
        <v>0</v>
      </c>
      <c r="J227" s="15" t="n"/>
      <c r="K227" s="16" t="n"/>
      <c r="L227" s="17">
        <f>IF(AND(J227="",K227=""),"",IF(H227="",K227,J227*H227+K227))</f>
        <v/>
      </c>
      <c r="M227" s="17">
        <f>IF(L227="","",L227-I227)</f>
        <v/>
      </c>
      <c r="N227" s="18" t="n">
        <v>7.1</v>
      </c>
      <c r="O227" s="19">
        <f>IF(L227="","",L227*N227)</f>
        <v/>
      </c>
      <c r="P227" s="19">
        <f>IF(M227="","",M227*N227)</f>
        <v/>
      </c>
      <c r="Q227" s="8" t="n"/>
      <c r="R227" s="8" t="inlineStr">
        <is>
          <t>En stock</t>
        </is>
      </c>
      <c r="S227" s="9" t="n"/>
    </row>
    <row r="228">
      <c r="A228" s="8" t="n">
        <v>222</v>
      </c>
      <c r="B228" s="8" t="inlineStr">
        <is>
          <t>Matières premières</t>
        </is>
      </c>
      <c r="C228" s="8" t="inlineStr">
        <is>
          <t>Ingrédients &gt; Farines</t>
        </is>
      </c>
      <c r="D228" s="8" t="inlineStr">
        <is>
          <t>Farine moni</t>
        </is>
      </c>
      <c r="E228" s="8" t="inlineStr"/>
      <c r="F228" s="8" t="inlineStr">
        <is>
          <t>kg</t>
        </is>
      </c>
      <c r="G228" s="8" t="inlineStr"/>
      <c r="H228" s="14" t="n"/>
      <c r="I228" s="14" t="n">
        <v>0</v>
      </c>
      <c r="J228" s="15" t="n"/>
      <c r="K228" s="16" t="n"/>
      <c r="L228" s="17">
        <f>IF(AND(J228="",K228=""),"",IF(H228="",K228,J228*H228+K228))</f>
        <v/>
      </c>
      <c r="M228" s="17">
        <f>IF(L228="","",L228-I228)</f>
        <v/>
      </c>
      <c r="N228" s="18" t="n">
        <v>5</v>
      </c>
      <c r="O228" s="19">
        <f>IF(L228="","",L228*N228)</f>
        <v/>
      </c>
      <c r="P228" s="19">
        <f>IF(M228="","",M228*N228)</f>
        <v/>
      </c>
      <c r="Q228" s="8" t="n"/>
      <c r="R228" s="8" t="inlineStr">
        <is>
          <t>En stock</t>
        </is>
      </c>
      <c r="S228" s="9" t="n"/>
    </row>
    <row r="229">
      <c r="A229" s="8" t="n">
        <v>223</v>
      </c>
      <c r="B229" s="8" t="inlineStr">
        <is>
          <t>Matières premières</t>
        </is>
      </c>
      <c r="C229" s="8" t="inlineStr">
        <is>
          <t>Ingrédients &gt; Farines</t>
        </is>
      </c>
      <c r="D229" s="8" t="inlineStr">
        <is>
          <t>Farine viennoiserie</t>
        </is>
      </c>
      <c r="E229" s="8" t="inlineStr">
        <is>
          <t>RICA MAROC</t>
        </is>
      </c>
      <c r="F229" s="8" t="inlineStr">
        <is>
          <t>kg</t>
        </is>
      </c>
      <c r="G229" s="8" t="inlineStr">
        <is>
          <t>Sac</t>
        </is>
      </c>
      <c r="H229" s="14" t="n">
        <v>25</v>
      </c>
      <c r="I229" s="14" t="n">
        <v>0</v>
      </c>
      <c r="J229" s="15" t="n"/>
      <c r="K229" s="16" t="n"/>
      <c r="L229" s="17">
        <f>IF(AND(J229="",K229=""),"",IF(H229="",K229,J229*H229+K229))</f>
        <v/>
      </c>
      <c r="M229" s="17">
        <f>IF(L229="","",L229-I229)</f>
        <v/>
      </c>
      <c r="N229" s="18" t="n">
        <v>4.8</v>
      </c>
      <c r="O229" s="19">
        <f>IF(L229="","",L229*N229)</f>
        <v/>
      </c>
      <c r="P229" s="19">
        <f>IF(M229="","",M229*N229)</f>
        <v/>
      </c>
      <c r="Q229" s="8" t="n"/>
      <c r="R229" s="8" t="inlineStr">
        <is>
          <t>En stock</t>
        </is>
      </c>
      <c r="S229" s="9" t="n"/>
    </row>
    <row r="230">
      <c r="A230" s="8" t="n">
        <v>224</v>
      </c>
      <c r="B230" s="8" t="inlineStr">
        <is>
          <t>Matières premières</t>
        </is>
      </c>
      <c r="C230" s="8" t="inlineStr">
        <is>
          <t>Ingrédients &gt; Farines</t>
        </is>
      </c>
      <c r="D230" s="8" t="inlineStr">
        <is>
          <t>Mangue</t>
        </is>
      </c>
      <c r="E230" s="8" t="inlineStr"/>
      <c r="F230" s="8" t="inlineStr">
        <is>
          <t>unit</t>
        </is>
      </c>
      <c r="G230" s="8" t="inlineStr"/>
      <c r="H230" s="14" t="n"/>
      <c r="I230" s="14" t="n">
        <v>0</v>
      </c>
      <c r="J230" s="15" t="n"/>
      <c r="K230" s="16" t="n"/>
      <c r="L230" s="17">
        <f>IF(AND(J230="",K230=""),"",IF(H230="",K230,J230*H230+K230))</f>
        <v/>
      </c>
      <c r="M230" s="17">
        <f>IF(L230="","",L230-I230)</f>
        <v/>
      </c>
      <c r="N230" s="18" t="n">
        <v>13</v>
      </c>
      <c r="O230" s="19">
        <f>IF(L230="","",L230*N230)</f>
        <v/>
      </c>
      <c r="P230" s="19">
        <f>IF(M230="","",M230*N230)</f>
        <v/>
      </c>
      <c r="Q230" s="8" t="n"/>
      <c r="R230" s="8" t="inlineStr">
        <is>
          <t>En stock</t>
        </is>
      </c>
      <c r="S230" s="9" t="n"/>
    </row>
    <row r="231">
      <c r="A231" s="8" t="n">
        <v>225</v>
      </c>
      <c r="B231" s="8" t="inlineStr">
        <is>
          <t>Matières premières</t>
        </is>
      </c>
      <c r="C231" s="8" t="inlineStr">
        <is>
          <t>Ingrédients &gt; Farines</t>
        </is>
      </c>
      <c r="D231" s="8" t="inlineStr">
        <is>
          <t>Mix Pain au seigle</t>
        </is>
      </c>
      <c r="E231" s="8" t="inlineStr">
        <is>
          <t>Générique</t>
        </is>
      </c>
      <c r="F231" s="8" t="inlineStr">
        <is>
          <t>kg</t>
        </is>
      </c>
      <c r="G231" s="8" t="inlineStr"/>
      <c r="H231" s="14" t="n"/>
      <c r="I231" s="14" t="n">
        <v>0</v>
      </c>
      <c r="J231" s="15" t="n"/>
      <c r="K231" s="16" t="n"/>
      <c r="L231" s="17">
        <f>IF(AND(J231="",K231=""),"",IF(H231="",K231,J231*H231+K231))</f>
        <v/>
      </c>
      <c r="M231" s="17">
        <f>IF(L231="","",L231-I231)</f>
        <v/>
      </c>
      <c r="N231" s="18" t="n">
        <v>18.3332</v>
      </c>
      <c r="O231" s="19">
        <f>IF(L231="","",L231*N231)</f>
        <v/>
      </c>
      <c r="P231" s="19">
        <f>IF(M231="","",M231*N231)</f>
        <v/>
      </c>
      <c r="Q231" s="8" t="n"/>
      <c r="R231" s="8" t="inlineStr">
        <is>
          <t>Jamais recu</t>
        </is>
      </c>
      <c r="S231" s="9" t="n"/>
    </row>
    <row r="232">
      <c r="A232" s="8" t="n">
        <v>226</v>
      </c>
      <c r="B232" s="8" t="inlineStr">
        <is>
          <t>Matières premières</t>
        </is>
      </c>
      <c r="C232" s="8" t="inlineStr">
        <is>
          <t>Ingrédients &gt; Farines</t>
        </is>
      </c>
      <c r="D232" s="8" t="inlineStr">
        <is>
          <t>Mix Pain aux céréales</t>
        </is>
      </c>
      <c r="E232" s="8" t="inlineStr">
        <is>
          <t>Générique</t>
        </is>
      </c>
      <c r="F232" s="8" t="inlineStr">
        <is>
          <t>kg</t>
        </is>
      </c>
      <c r="G232" s="8" t="inlineStr"/>
      <c r="H232" s="14" t="n"/>
      <c r="I232" s="14" t="n">
        <v>0</v>
      </c>
      <c r="J232" s="15" t="n"/>
      <c r="K232" s="16" t="n"/>
      <c r="L232" s="17">
        <f>IF(AND(J232="",K232=""),"",IF(H232="",K232,J232*H232+K232))</f>
        <v/>
      </c>
      <c r="M232" s="17">
        <f>IF(L232="","",L232-I232)</f>
        <v/>
      </c>
      <c r="N232" s="18" t="n">
        <v>15</v>
      </c>
      <c r="O232" s="19">
        <f>IF(L232="","",L232*N232)</f>
        <v/>
      </c>
      <c r="P232" s="19">
        <f>IF(M232="","",M232*N232)</f>
        <v/>
      </c>
      <c r="Q232" s="8" t="n"/>
      <c r="R232" s="8" t="inlineStr">
        <is>
          <t>Jamais recu</t>
        </is>
      </c>
      <c r="S232" s="9" t="n"/>
    </row>
    <row r="233">
      <c r="A233" s="8" t="n">
        <v>227</v>
      </c>
      <c r="B233" s="8" t="inlineStr">
        <is>
          <t>Matières premières</t>
        </is>
      </c>
      <c r="C233" s="8" t="inlineStr">
        <is>
          <t>Ingrédients &gt; Farines</t>
        </is>
      </c>
      <c r="D233" s="8" t="inlineStr">
        <is>
          <t>Mix Pain de campagne</t>
        </is>
      </c>
      <c r="E233" s="8" t="inlineStr">
        <is>
          <t>Générique</t>
        </is>
      </c>
      <c r="F233" s="8" t="inlineStr">
        <is>
          <t>kg</t>
        </is>
      </c>
      <c r="G233" s="8" t="inlineStr"/>
      <c r="H233" s="14" t="n"/>
      <c r="I233" s="14" t="n">
        <v>0</v>
      </c>
      <c r="J233" s="15" t="n"/>
      <c r="K233" s="16" t="n"/>
      <c r="L233" s="17">
        <f>IF(AND(J233="",K233=""),"",IF(H233="",K233,J233*H233+K233))</f>
        <v/>
      </c>
      <c r="M233" s="17">
        <f>IF(L233="","",L233-I233)</f>
        <v/>
      </c>
      <c r="N233" s="18" t="n">
        <v>10</v>
      </c>
      <c r="O233" s="19">
        <f>IF(L233="","",L233*N233)</f>
        <v/>
      </c>
      <c r="P233" s="19">
        <f>IF(M233="","",M233*N233)</f>
        <v/>
      </c>
      <c r="Q233" s="8" t="n"/>
      <c r="R233" s="8" t="inlineStr">
        <is>
          <t>Jamais recu</t>
        </is>
      </c>
      <c r="S233" s="9" t="n"/>
    </row>
    <row r="234">
      <c r="A234" s="8" t="n">
        <v>228</v>
      </c>
      <c r="B234" s="8" t="inlineStr">
        <is>
          <t>Matières premières</t>
        </is>
      </c>
      <c r="C234" s="8" t="inlineStr">
        <is>
          <t>Ingrédients &gt; Farines</t>
        </is>
      </c>
      <c r="D234" s="8" t="inlineStr">
        <is>
          <t>Pomme</t>
        </is>
      </c>
      <c r="E234" s="8" t="inlineStr"/>
      <c r="F234" s="8" t="inlineStr">
        <is>
          <t>g</t>
        </is>
      </c>
      <c r="G234" s="8" t="inlineStr"/>
      <c r="H234" s="14" t="n"/>
      <c r="I234" s="14" t="n">
        <v>0</v>
      </c>
      <c r="J234" s="15" t="n"/>
      <c r="K234" s="16" t="n"/>
      <c r="L234" s="17">
        <f>IF(AND(J234="",K234=""),"",IF(H234="",K234,J234*H234+K234))</f>
        <v/>
      </c>
      <c r="M234" s="17">
        <f>IF(L234="","",L234-I234)</f>
        <v/>
      </c>
      <c r="N234" s="18" t="n">
        <v>0.0269</v>
      </c>
      <c r="O234" s="19">
        <f>IF(L234="","",L234*N234)</f>
        <v/>
      </c>
      <c r="P234" s="19">
        <f>IF(M234="","",M234*N234)</f>
        <v/>
      </c>
      <c r="Q234" s="8" t="n"/>
      <c r="R234" s="8" t="inlineStr">
        <is>
          <t>Stock a 0</t>
        </is>
      </c>
      <c r="S234" s="9" t="n"/>
    </row>
    <row r="235">
      <c r="A235" s="8" t="n">
        <v>229</v>
      </c>
      <c r="B235" s="8" t="inlineStr">
        <is>
          <t>Matières premières</t>
        </is>
      </c>
      <c r="C235" s="8" t="inlineStr">
        <is>
          <t>Ingrédients &gt; Farines</t>
        </is>
      </c>
      <c r="D235" s="8" t="inlineStr">
        <is>
          <t>Semoule de mais</t>
        </is>
      </c>
      <c r="E235" s="8" t="inlineStr"/>
      <c r="F235" s="8" t="inlineStr">
        <is>
          <t>kg</t>
        </is>
      </c>
      <c r="G235" s="8" t="inlineStr"/>
      <c r="H235" s="14" t="n"/>
      <c r="I235" s="14" t="n">
        <v>0</v>
      </c>
      <c r="J235" s="15" t="n"/>
      <c r="K235" s="16" t="n"/>
      <c r="L235" s="17">
        <f>IF(AND(J235="",K235=""),"",IF(H235="",K235,J235*H235+K235))</f>
        <v/>
      </c>
      <c r="M235" s="17">
        <f>IF(L235="","",L235-I235)</f>
        <v/>
      </c>
      <c r="N235" s="18" t="n">
        <v>10.77</v>
      </c>
      <c r="O235" s="19">
        <f>IF(L235="","",L235*N235)</f>
        <v/>
      </c>
      <c r="P235" s="19">
        <f>IF(M235="","",M235*N235)</f>
        <v/>
      </c>
      <c r="Q235" s="8" t="n"/>
      <c r="R235" s="8" t="inlineStr">
        <is>
          <t>En stock</t>
        </is>
      </c>
      <c r="S235" s="9" t="n"/>
    </row>
    <row r="236">
      <c r="A236" s="8" t="n">
        <v>230</v>
      </c>
      <c r="B236" s="8" t="inlineStr">
        <is>
          <t>Matières premières</t>
        </is>
      </c>
      <c r="C236" s="8" t="inlineStr">
        <is>
          <t>Ingrédients &gt; Farines</t>
        </is>
      </c>
      <c r="D236" s="8" t="inlineStr">
        <is>
          <t>Semoule fine</t>
        </is>
      </c>
      <c r="E236" s="8" t="inlineStr">
        <is>
          <t>Générique</t>
        </is>
      </c>
      <c r="F236" s="8" t="inlineStr">
        <is>
          <t>kg</t>
        </is>
      </c>
      <c r="G236" s="8" t="inlineStr">
        <is>
          <t>Sac</t>
        </is>
      </c>
      <c r="H236" s="14" t="n">
        <v>25</v>
      </c>
      <c r="I236" s="14" t="n">
        <v>0</v>
      </c>
      <c r="J236" s="15" t="n"/>
      <c r="K236" s="16" t="n"/>
      <c r="L236" s="17">
        <f>IF(AND(J236="",K236=""),"",IF(H236="",K236,J236*H236+K236))</f>
        <v/>
      </c>
      <c r="M236" s="17">
        <f>IF(L236="","",L236-I236)</f>
        <v/>
      </c>
      <c r="N236" s="18" t="n">
        <v>5</v>
      </c>
      <c r="O236" s="19">
        <f>IF(L236="","",L236*N236)</f>
        <v/>
      </c>
      <c r="P236" s="19">
        <f>IF(M236="","",M236*N236)</f>
        <v/>
      </c>
      <c r="Q236" s="8" t="n"/>
      <c r="R236" s="8" t="inlineStr">
        <is>
          <t>En stock</t>
        </is>
      </c>
      <c r="S236" s="9" t="n"/>
    </row>
    <row r="237">
      <c r="A237" s="8" t="n">
        <v>231</v>
      </c>
      <c r="B237" s="8" t="inlineStr">
        <is>
          <t>Matières premières</t>
        </is>
      </c>
      <c r="C237" s="8" t="inlineStr">
        <is>
          <t>Ingrédients &gt; Farines</t>
        </is>
      </c>
      <c r="D237" s="8" t="inlineStr">
        <is>
          <t>Semoule kenz</t>
        </is>
      </c>
      <c r="E237" s="8" t="inlineStr"/>
      <c r="F237" s="8" t="inlineStr">
        <is>
          <t>kg</t>
        </is>
      </c>
      <c r="G237" s="8" t="inlineStr">
        <is>
          <t>Sac</t>
        </is>
      </c>
      <c r="H237" s="14" t="n">
        <v>5</v>
      </c>
      <c r="I237" s="14" t="n">
        <v>0</v>
      </c>
      <c r="J237" s="15" t="n"/>
      <c r="K237" s="30" t="n">
        <v>13</v>
      </c>
      <c r="L237" s="17">
        <f>IF(AND(J237="",K237=""),"",IF(H237="",K237,J237*H237+K237))</f>
        <v/>
      </c>
      <c r="M237" s="17">
        <f>IF(L237="","",L237-I237)</f>
        <v/>
      </c>
      <c r="N237" s="18" t="n">
        <v>10.19</v>
      </c>
      <c r="O237" s="19">
        <f>IF(L237="","",L237*N237)</f>
        <v/>
      </c>
      <c r="P237" s="19">
        <f>IF(M237="","",M237*N237)</f>
        <v/>
      </c>
      <c r="Q237" s="8" t="inlineStr">
        <is>
          <t>2026-08-01</t>
        </is>
      </c>
      <c r="R237" s="8" t="inlineStr">
        <is>
          <t>En stock</t>
        </is>
      </c>
      <c r="S237" s="9" t="n"/>
    </row>
    <row r="238">
      <c r="A238" s="8" t="n">
        <v>232</v>
      </c>
      <c r="B238" s="8" t="inlineStr">
        <is>
          <t>Matières premières</t>
        </is>
      </c>
      <c r="C238" s="8" t="inlineStr">
        <is>
          <t>Ingrédients &gt; Farines</t>
        </is>
      </c>
      <c r="D238" s="8" t="inlineStr">
        <is>
          <t>Son de blé</t>
        </is>
      </c>
      <c r="E238" s="8" t="inlineStr"/>
      <c r="F238" s="8" t="inlineStr">
        <is>
          <t>kg</t>
        </is>
      </c>
      <c r="G238" s="8" t="inlineStr"/>
      <c r="H238" s="14" t="n"/>
      <c r="I238" s="14" t="n">
        <v>0</v>
      </c>
      <c r="J238" s="15" t="n"/>
      <c r="K238" s="16" t="n"/>
      <c r="L238" s="17">
        <f>IF(AND(J238="",K238=""),"",IF(H238="",K238,J238*H238+K238))</f>
        <v/>
      </c>
      <c r="M238" s="17">
        <f>IF(L238="","",L238-I238)</f>
        <v/>
      </c>
      <c r="N238" s="18" t="n">
        <v>0</v>
      </c>
      <c r="O238" s="19">
        <f>IF(L238="","",L238*N238)</f>
        <v/>
      </c>
      <c r="P238" s="19">
        <f>IF(M238="","",M238*N238)</f>
        <v/>
      </c>
      <c r="Q238" s="8" t="n"/>
      <c r="R238" s="8" t="inlineStr">
        <is>
          <t>Jamais recu</t>
        </is>
      </c>
      <c r="S238" s="9" t="n"/>
    </row>
    <row r="239">
      <c r="A239" s="8" t="n">
        <v>233</v>
      </c>
      <c r="B239" s="8" t="inlineStr">
        <is>
          <t>Matières premières</t>
        </is>
      </c>
      <c r="C239" s="8" t="inlineStr">
        <is>
          <t>Ingrédients &gt; Farines</t>
        </is>
      </c>
      <c r="D239" s="8" t="inlineStr">
        <is>
          <t>Son de blé</t>
        </is>
      </c>
      <c r="E239" s="8" t="inlineStr"/>
      <c r="F239" s="8" t="inlineStr">
        <is>
          <t>kg</t>
        </is>
      </c>
      <c r="G239" s="8" t="inlineStr"/>
      <c r="H239" s="14" t="n"/>
      <c r="I239" s="14" t="n">
        <v>0</v>
      </c>
      <c r="J239" s="15" t="n"/>
      <c r="K239" s="16" t="n"/>
      <c r="L239" s="17">
        <f>IF(AND(J239="",K239=""),"",IF(H239="",K239,J239*H239+K239))</f>
        <v/>
      </c>
      <c r="M239" s="17">
        <f>IF(L239="","",L239-I239)</f>
        <v/>
      </c>
      <c r="N239" s="18" t="n">
        <v>4</v>
      </c>
      <c r="O239" s="19">
        <f>IF(L239="","",L239*N239)</f>
        <v/>
      </c>
      <c r="P239" s="19">
        <f>IF(M239="","",M239*N239)</f>
        <v/>
      </c>
      <c r="Q239" s="8" t="n"/>
      <c r="R239" s="8" t="inlineStr">
        <is>
          <t>En stock</t>
        </is>
      </c>
      <c r="S239" s="9" t="n"/>
    </row>
    <row r="240">
      <c r="A240" s="8" t="n">
        <v>234</v>
      </c>
      <c r="B240" s="8" t="inlineStr">
        <is>
          <t>Matières premières</t>
        </is>
      </c>
      <c r="C240" s="8" t="inlineStr">
        <is>
          <t>Ingrédients &gt; Fromages &amp; Fromages frais</t>
        </is>
      </c>
      <c r="D240" s="8" t="inlineStr">
        <is>
          <t>Fromage Edam</t>
        </is>
      </c>
      <c r="E240" s="8" t="inlineStr">
        <is>
          <t>Grand Cœur</t>
        </is>
      </c>
      <c r="F240" s="8" t="inlineStr">
        <is>
          <t>kg</t>
        </is>
      </c>
      <c r="G240" s="8" t="inlineStr"/>
      <c r="H240" s="14" t="n"/>
      <c r="I240" s="14" t="n">
        <v>0</v>
      </c>
      <c r="J240" s="15" t="n"/>
      <c r="K240" s="16" t="n"/>
      <c r="L240" s="17">
        <f>IF(AND(J240="",K240=""),"",IF(H240="",K240,J240*H240+K240))</f>
        <v/>
      </c>
      <c r="M240" s="17">
        <f>IF(L240="","",L240-I240)</f>
        <v/>
      </c>
      <c r="N240" s="18" t="n">
        <v>170</v>
      </c>
      <c r="O240" s="19">
        <f>IF(L240="","",L240*N240)</f>
        <v/>
      </c>
      <c r="P240" s="19">
        <f>IF(M240="","",M240*N240)</f>
        <v/>
      </c>
      <c r="Q240" s="8" t="n"/>
      <c r="R240" s="8" t="inlineStr">
        <is>
          <t>En stock</t>
        </is>
      </c>
      <c r="S240" s="9" t="n"/>
    </row>
    <row r="241">
      <c r="A241" s="8" t="n">
        <v>235</v>
      </c>
      <c r="B241" s="8" t="inlineStr">
        <is>
          <t>Matières premières</t>
        </is>
      </c>
      <c r="C241" s="8" t="inlineStr">
        <is>
          <t>Ingrédients &gt; Fromages &amp; Fromages frais</t>
        </is>
      </c>
      <c r="D241" s="8" t="inlineStr">
        <is>
          <t>Fromage les enfants</t>
        </is>
      </c>
      <c r="E241" s="8" t="inlineStr"/>
      <c r="F241" s="8" t="inlineStr">
        <is>
          <t>unit</t>
        </is>
      </c>
      <c r="G241" s="8" t="inlineStr"/>
      <c r="H241" s="14" t="n"/>
      <c r="I241" s="14" t="n">
        <v>0</v>
      </c>
      <c r="J241" s="15" t="n"/>
      <c r="K241" s="16" t="n"/>
      <c r="L241" s="17">
        <f>IF(AND(J241="",K241=""),"",IF(H241="",K241,J241*H241+K241))</f>
        <v/>
      </c>
      <c r="M241" s="17">
        <f>IF(L241="","",L241-I241)</f>
        <v/>
      </c>
      <c r="N241" s="18" t="n">
        <v>18</v>
      </c>
      <c r="O241" s="19">
        <f>IF(L241="","",L241*N241)</f>
        <v/>
      </c>
      <c r="P241" s="19">
        <f>IF(M241="","",M241*N241)</f>
        <v/>
      </c>
      <c r="Q241" s="8" t="n"/>
      <c r="R241" s="8" t="inlineStr">
        <is>
          <t>En stock</t>
        </is>
      </c>
      <c r="S241" s="9" t="n"/>
    </row>
    <row r="242">
      <c r="A242" s="8" t="n">
        <v>236</v>
      </c>
      <c r="B242" s="8" t="inlineStr">
        <is>
          <t>Matières premières</t>
        </is>
      </c>
      <c r="C242" s="8" t="inlineStr">
        <is>
          <t>Ingrédients &gt; Fruits</t>
        </is>
      </c>
      <c r="D242" s="8" t="inlineStr">
        <is>
          <t>Ananas</t>
        </is>
      </c>
      <c r="E242" s="8" t="inlineStr">
        <is>
          <t>Marché local</t>
        </is>
      </c>
      <c r="F242" s="8" t="inlineStr">
        <is>
          <t>kg</t>
        </is>
      </c>
      <c r="G242" s="8" t="inlineStr"/>
      <c r="H242" s="14" t="n"/>
      <c r="I242" s="14" t="n">
        <v>0</v>
      </c>
      <c r="J242" s="15" t="n"/>
      <c r="K242" s="16" t="n"/>
      <c r="L242" s="17">
        <f>IF(AND(J242="",K242=""),"",IF(H242="",K242,J242*H242+K242))</f>
        <v/>
      </c>
      <c r="M242" s="17">
        <f>IF(L242="","",L242-I242)</f>
        <v/>
      </c>
      <c r="N242" s="18" t="n">
        <v>15</v>
      </c>
      <c r="O242" s="19">
        <f>IF(L242="","",L242*N242)</f>
        <v/>
      </c>
      <c r="P242" s="19">
        <f>IF(M242="","",M242*N242)</f>
        <v/>
      </c>
      <c r="Q242" s="8" t="n"/>
      <c r="R242" s="8" t="inlineStr">
        <is>
          <t>Jamais recu</t>
        </is>
      </c>
      <c r="S242" s="9" t="n"/>
    </row>
    <row r="243">
      <c r="A243" s="8" t="n">
        <v>237</v>
      </c>
      <c r="B243" s="8" t="inlineStr">
        <is>
          <t>Matières premières</t>
        </is>
      </c>
      <c r="C243" s="8" t="inlineStr">
        <is>
          <t>Ingrédients &gt; Fruits</t>
        </is>
      </c>
      <c r="D243" s="8" t="inlineStr">
        <is>
          <t>Banane</t>
        </is>
      </c>
      <c r="E243" s="8" t="inlineStr"/>
      <c r="F243" s="8" t="inlineStr">
        <is>
          <t>kg</t>
        </is>
      </c>
      <c r="G243" s="8" t="inlineStr"/>
      <c r="H243" s="14" t="n"/>
      <c r="I243" s="14" t="n">
        <v>0</v>
      </c>
      <c r="J243" s="15" t="n"/>
      <c r="K243" s="16" t="n"/>
      <c r="L243" s="17">
        <f>IF(AND(J243="",K243=""),"",IF(H243="",K243,J243*H243+K243))</f>
        <v/>
      </c>
      <c r="M243" s="17">
        <f>IF(L243="","",L243-I243)</f>
        <v/>
      </c>
      <c r="N243" s="18" t="n">
        <v>30</v>
      </c>
      <c r="O243" s="19">
        <f>IF(L243="","",L243*N243)</f>
        <v/>
      </c>
      <c r="P243" s="19">
        <f>IF(M243="","",M243*N243)</f>
        <v/>
      </c>
      <c r="Q243" s="8" t="n"/>
      <c r="R243" s="8" t="inlineStr">
        <is>
          <t>Stock a 0</t>
        </is>
      </c>
      <c r="S243" s="9" t="n"/>
    </row>
    <row r="244">
      <c r="A244" s="8" t="n">
        <v>238</v>
      </c>
      <c r="B244" s="8" t="inlineStr">
        <is>
          <t>Matières premières</t>
        </is>
      </c>
      <c r="C244" s="8" t="inlineStr">
        <is>
          <t>Ingrédients &gt; Fruits</t>
        </is>
      </c>
      <c r="D244" s="8" t="inlineStr">
        <is>
          <t>Citron</t>
        </is>
      </c>
      <c r="E244" s="8" t="inlineStr">
        <is>
          <t>Marché local</t>
        </is>
      </c>
      <c r="F244" s="8" t="inlineStr">
        <is>
          <t>kg</t>
        </is>
      </c>
      <c r="G244" s="8" t="inlineStr"/>
      <c r="H244" s="14" t="n"/>
      <c r="I244" s="14" t="n">
        <v>0</v>
      </c>
      <c r="J244" s="15" t="n"/>
      <c r="K244" s="16" t="n"/>
      <c r="L244" s="17">
        <f>IF(AND(J244="",K244=""),"",IF(H244="",K244,J244*H244+K244))</f>
        <v/>
      </c>
      <c r="M244" s="17">
        <f>IF(L244="","",L244-I244)</f>
        <v/>
      </c>
      <c r="N244" s="18" t="n">
        <v>20</v>
      </c>
      <c r="O244" s="19">
        <f>IF(L244="","",L244*N244)</f>
        <v/>
      </c>
      <c r="P244" s="19">
        <f>IF(M244="","",M244*N244)</f>
        <v/>
      </c>
      <c r="Q244" s="8" t="n"/>
      <c r="R244" s="8" t="inlineStr">
        <is>
          <t>En stock</t>
        </is>
      </c>
      <c r="S244" s="9" t="n"/>
    </row>
    <row r="245">
      <c r="A245" s="8" t="n">
        <v>239</v>
      </c>
      <c r="B245" s="8" t="inlineStr">
        <is>
          <t>Matières premières</t>
        </is>
      </c>
      <c r="C245" s="8" t="inlineStr">
        <is>
          <t>Ingrédients &gt; Fruits</t>
        </is>
      </c>
      <c r="D245" s="8" t="inlineStr">
        <is>
          <t>Compote de pomme Valade</t>
        </is>
      </c>
      <c r="E245" s="8" t="inlineStr">
        <is>
          <t>ECOMAB</t>
        </is>
      </c>
      <c r="F245" s="8" t="inlineStr">
        <is>
          <t>kg</t>
        </is>
      </c>
      <c r="G245" s="8" t="inlineStr"/>
      <c r="H245" s="14" t="n"/>
      <c r="I245" s="14" t="n">
        <v>0</v>
      </c>
      <c r="J245" s="15" t="n"/>
      <c r="K245" s="16" t="n"/>
      <c r="L245" s="17">
        <f>IF(AND(J245="",K245=""),"",IF(H245="",K245,J245*H245+K245))</f>
        <v/>
      </c>
      <c r="M245" s="17">
        <f>IF(L245="","",L245-I245)</f>
        <v/>
      </c>
      <c r="N245" s="18" t="n">
        <v>33.13</v>
      </c>
      <c r="O245" s="19">
        <f>IF(L245="","",L245*N245)</f>
        <v/>
      </c>
      <c r="P245" s="19">
        <f>IF(M245="","",M245*N245)</f>
        <v/>
      </c>
      <c r="Q245" s="8" t="n"/>
      <c r="R245" s="8" t="inlineStr">
        <is>
          <t>En stock</t>
        </is>
      </c>
      <c r="S245" s="9" t="n"/>
    </row>
    <row r="246">
      <c r="A246" s="8" t="n">
        <v>240</v>
      </c>
      <c r="B246" s="8" t="inlineStr">
        <is>
          <t>Matières premières</t>
        </is>
      </c>
      <c r="C246" s="8" t="inlineStr">
        <is>
          <t>Ingrédients &gt; Fruits</t>
        </is>
      </c>
      <c r="D246" s="8" t="inlineStr">
        <is>
          <t>Fraise</t>
        </is>
      </c>
      <c r="E246" s="8" t="inlineStr">
        <is>
          <t>Marché local</t>
        </is>
      </c>
      <c r="F246" s="8" t="inlineStr">
        <is>
          <t>kg</t>
        </is>
      </c>
      <c r="G246" s="8" t="inlineStr"/>
      <c r="H246" s="14" t="n"/>
      <c r="I246" s="14" t="n">
        <v>0</v>
      </c>
      <c r="J246" s="15" t="n"/>
      <c r="K246" s="16" t="n"/>
      <c r="L246" s="17">
        <f>IF(AND(J246="",K246=""),"",IF(H246="",K246,J246*H246+K246))</f>
        <v/>
      </c>
      <c r="M246" s="17">
        <f>IF(L246="","",L246-I246)</f>
        <v/>
      </c>
      <c r="N246" s="18" t="n">
        <v>15</v>
      </c>
      <c r="O246" s="19">
        <f>IF(L246="","",L246*N246)</f>
        <v/>
      </c>
      <c r="P246" s="19">
        <f>IF(M246="","",M246*N246)</f>
        <v/>
      </c>
      <c r="Q246" s="8" t="n"/>
      <c r="R246" s="8" t="inlineStr">
        <is>
          <t>Jamais recu</t>
        </is>
      </c>
      <c r="S246" s="9" t="n"/>
    </row>
    <row r="247">
      <c r="A247" s="8" t="n">
        <v>241</v>
      </c>
      <c r="B247" s="8" t="inlineStr">
        <is>
          <t>Matières premières</t>
        </is>
      </c>
      <c r="C247" s="8" t="inlineStr">
        <is>
          <t>Ingrédients &gt; Fruits</t>
        </is>
      </c>
      <c r="D247" s="8" t="inlineStr">
        <is>
          <t>Framboise (boîte)</t>
        </is>
      </c>
      <c r="E247" s="8" t="inlineStr">
        <is>
          <t>Marché local</t>
        </is>
      </c>
      <c r="F247" s="8" t="inlineStr">
        <is>
          <t>unit</t>
        </is>
      </c>
      <c r="G247" s="8" t="inlineStr"/>
      <c r="H247" s="14" t="n"/>
      <c r="I247" s="14" t="n">
        <v>0</v>
      </c>
      <c r="J247" s="15" t="n"/>
      <c r="K247" s="16" t="n"/>
      <c r="L247" s="17">
        <f>IF(AND(J247="",K247=""),"",IF(H247="",K247,J247*H247+K247))</f>
        <v/>
      </c>
      <c r="M247" s="17">
        <f>IF(L247="","",L247-I247)</f>
        <v/>
      </c>
      <c r="N247" s="18" t="n">
        <v>17</v>
      </c>
      <c r="O247" s="19">
        <f>IF(L247="","",L247*N247)</f>
        <v/>
      </c>
      <c r="P247" s="19">
        <f>IF(M247="","",M247*N247)</f>
        <v/>
      </c>
      <c r="Q247" s="8" t="n"/>
      <c r="R247" s="8" t="inlineStr">
        <is>
          <t>En stock</t>
        </is>
      </c>
      <c r="S247" s="9" t="n"/>
    </row>
    <row r="248">
      <c r="A248" s="8" t="n">
        <v>242</v>
      </c>
      <c r="B248" s="8" t="inlineStr">
        <is>
          <t>Matières premières</t>
        </is>
      </c>
      <c r="C248" s="8" t="inlineStr">
        <is>
          <t>Ingrédients &gt; Fruits</t>
        </is>
      </c>
      <c r="D248" s="8" t="inlineStr">
        <is>
          <t>Framboise purée</t>
        </is>
      </c>
      <c r="E248" s="8" t="inlineStr">
        <is>
          <t>Générique</t>
        </is>
      </c>
      <c r="F248" s="8" t="inlineStr">
        <is>
          <t>l</t>
        </is>
      </c>
      <c r="G248" s="8" t="inlineStr"/>
      <c r="H248" s="14" t="n"/>
      <c r="I248" s="14" t="n">
        <v>0</v>
      </c>
      <c r="J248" s="15" t="n"/>
      <c r="K248" s="16" t="n"/>
      <c r="L248" s="17">
        <f>IF(AND(J248="",K248=""),"",IF(H248="",K248,J248*H248+K248))</f>
        <v/>
      </c>
      <c r="M248" s="17">
        <f>IF(L248="","",L248-I248)</f>
        <v/>
      </c>
      <c r="N248" s="18" t="n">
        <v>97.8</v>
      </c>
      <c r="O248" s="19">
        <f>IF(L248="","",L248*N248)</f>
        <v/>
      </c>
      <c r="P248" s="19">
        <f>IF(M248="","",M248*N248)</f>
        <v/>
      </c>
      <c r="Q248" s="8" t="inlineStr">
        <is>
          <t>2027-03-02</t>
        </is>
      </c>
      <c r="R248" s="8" t="inlineStr">
        <is>
          <t>En stock</t>
        </is>
      </c>
      <c r="S248" s="9" t="n"/>
    </row>
    <row r="249">
      <c r="A249" s="8" t="n">
        <v>243</v>
      </c>
      <c r="B249" s="8" t="inlineStr">
        <is>
          <t>Matières premières</t>
        </is>
      </c>
      <c r="C249" s="8" t="inlineStr">
        <is>
          <t>Ingrédients &gt; Fruits</t>
        </is>
      </c>
      <c r="D249" s="8" t="inlineStr">
        <is>
          <t>Framboises</t>
        </is>
      </c>
      <c r="E249" s="8" t="inlineStr"/>
      <c r="F249" s="8" t="inlineStr">
        <is>
          <t>unit</t>
        </is>
      </c>
      <c r="G249" s="8" t="inlineStr"/>
      <c r="H249" s="14" t="n"/>
      <c r="I249" s="14" t="n">
        <v>0</v>
      </c>
      <c r="J249" s="15" t="n"/>
      <c r="K249" s="16" t="n"/>
      <c r="L249" s="17">
        <f>IF(AND(J249="",K249=""),"",IF(H249="",K249,J249*H249+K249))</f>
        <v/>
      </c>
      <c r="M249" s="17">
        <f>IF(L249="","",L249-I249)</f>
        <v/>
      </c>
      <c r="N249" s="18" t="n">
        <v>10</v>
      </c>
      <c r="O249" s="19">
        <f>IF(L249="","",L249*N249)</f>
        <v/>
      </c>
      <c r="P249" s="19">
        <f>IF(M249="","",M249*N249)</f>
        <v/>
      </c>
      <c r="Q249" s="8" t="n"/>
      <c r="R249" s="8" t="inlineStr">
        <is>
          <t>En stock</t>
        </is>
      </c>
      <c r="S249" s="9" t="n"/>
    </row>
    <row r="250">
      <c r="A250" s="8" t="n">
        <v>244</v>
      </c>
      <c r="B250" s="8" t="inlineStr">
        <is>
          <t>Matières premières</t>
        </is>
      </c>
      <c r="C250" s="8" t="inlineStr">
        <is>
          <t>Ingrédients &gt; Fruits</t>
        </is>
      </c>
      <c r="D250" s="8" t="inlineStr">
        <is>
          <t>Framboises</t>
        </is>
      </c>
      <c r="E250" s="8" t="inlineStr"/>
      <c r="F250" s="8" t="inlineStr">
        <is>
          <t>kg</t>
        </is>
      </c>
      <c r="G250" s="8" t="inlineStr"/>
      <c r="H250" s="14" t="n"/>
      <c r="I250" s="14" t="n">
        <v>0</v>
      </c>
      <c r="J250" s="15" t="n"/>
      <c r="K250" s="16" t="n"/>
      <c r="L250" s="17">
        <f>IF(AND(J250="",K250=""),"",IF(H250="",K250,J250*H250+K250))</f>
        <v/>
      </c>
      <c r="M250" s="17">
        <f>IF(L250="","",L250-I250)</f>
        <v/>
      </c>
      <c r="N250" s="18" t="n">
        <v>98</v>
      </c>
      <c r="O250" s="19">
        <f>IF(L250="","",L250*N250)</f>
        <v/>
      </c>
      <c r="P250" s="19">
        <f>IF(M250="","",M250*N250)</f>
        <v/>
      </c>
      <c r="Q250" s="8" t="n"/>
      <c r="R250" s="8" t="inlineStr">
        <is>
          <t>Jamais recu</t>
        </is>
      </c>
      <c r="S250" s="9" t="n"/>
    </row>
    <row r="251">
      <c r="A251" s="8" t="n">
        <v>245</v>
      </c>
      <c r="B251" s="8" t="inlineStr">
        <is>
          <t>Matières premières</t>
        </is>
      </c>
      <c r="C251" s="8" t="inlineStr">
        <is>
          <t>Ingrédients &gt; Fruits</t>
        </is>
      </c>
      <c r="D251" s="8" t="inlineStr">
        <is>
          <t>Fruits confits</t>
        </is>
      </c>
      <c r="E251" s="8" t="inlineStr"/>
      <c r="F251" s="8" t="inlineStr">
        <is>
          <t>unit</t>
        </is>
      </c>
      <c r="G251" s="8" t="inlineStr"/>
      <c r="H251" s="14" t="n"/>
      <c r="I251" s="14" t="n">
        <v>0</v>
      </c>
      <c r="J251" s="15" t="n"/>
      <c r="K251" s="16" t="n"/>
      <c r="L251" s="17">
        <f>IF(AND(J251="",K251=""),"",IF(H251="",K251,J251*H251+K251))</f>
        <v/>
      </c>
      <c r="M251" s="17">
        <f>IF(L251="","",L251-I251)</f>
        <v/>
      </c>
      <c r="N251" s="18" t="n">
        <v>10</v>
      </c>
      <c r="O251" s="19">
        <f>IF(L251="","",L251*N251)</f>
        <v/>
      </c>
      <c r="P251" s="19">
        <f>IF(M251="","",M251*N251)</f>
        <v/>
      </c>
      <c r="Q251" s="8" t="n"/>
      <c r="R251" s="8" t="inlineStr">
        <is>
          <t>Stock a 0</t>
        </is>
      </c>
      <c r="S251" s="9" t="n"/>
    </row>
    <row r="252">
      <c r="A252" s="8" t="n">
        <v>246</v>
      </c>
      <c r="B252" s="8" t="inlineStr">
        <is>
          <t>Matières premières</t>
        </is>
      </c>
      <c r="C252" s="8" t="inlineStr">
        <is>
          <t>Ingrédients &gt; Fruits</t>
        </is>
      </c>
      <c r="D252" s="8" t="inlineStr">
        <is>
          <t>Kiwi</t>
        </is>
      </c>
      <c r="E252" s="8" t="inlineStr"/>
      <c r="F252" s="8" t="inlineStr">
        <is>
          <t>g</t>
        </is>
      </c>
      <c r="G252" s="8" t="inlineStr"/>
      <c r="H252" s="14" t="n"/>
      <c r="I252" s="14" t="n">
        <v>0</v>
      </c>
      <c r="J252" s="15" t="n"/>
      <c r="K252" s="16" t="n"/>
      <c r="L252" s="17">
        <f>IF(AND(J252="",K252=""),"",IF(H252="",K252,J252*H252+K252))</f>
        <v/>
      </c>
      <c r="M252" s="17">
        <f>IF(L252="","",L252-I252)</f>
        <v/>
      </c>
      <c r="N252" s="18" t="n">
        <v>0.0444</v>
      </c>
      <c r="O252" s="19">
        <f>IF(L252="","",L252*N252)</f>
        <v/>
      </c>
      <c r="P252" s="19">
        <f>IF(M252="","",M252*N252)</f>
        <v/>
      </c>
      <c r="Q252" s="8" t="n"/>
      <c r="R252" s="8" t="inlineStr">
        <is>
          <t>Stock a 0</t>
        </is>
      </c>
      <c r="S252" s="9" t="n"/>
    </row>
    <row r="253">
      <c r="A253" s="8" t="n">
        <v>247</v>
      </c>
      <c r="B253" s="8" t="inlineStr">
        <is>
          <t>Matières premières</t>
        </is>
      </c>
      <c r="C253" s="8" t="inlineStr">
        <is>
          <t>Ingrédients &gt; Fruits</t>
        </is>
      </c>
      <c r="D253" s="8" t="inlineStr">
        <is>
          <t>Kiwi</t>
        </is>
      </c>
      <c r="E253" s="8" t="inlineStr">
        <is>
          <t>Marché local</t>
        </is>
      </c>
      <c r="F253" s="8" t="inlineStr">
        <is>
          <t>kg</t>
        </is>
      </c>
      <c r="G253" s="8" t="inlineStr"/>
      <c r="H253" s="14" t="n"/>
      <c r="I253" s="14" t="n">
        <v>0</v>
      </c>
      <c r="J253" s="15" t="n"/>
      <c r="K253" s="16" t="n"/>
      <c r="L253" s="17">
        <f>IF(AND(J253="",K253=""),"",IF(H253="",K253,J253*H253+K253))</f>
        <v/>
      </c>
      <c r="M253" s="17">
        <f>IF(L253="","",L253-I253)</f>
        <v/>
      </c>
      <c r="N253" s="18" t="n">
        <v>45</v>
      </c>
      <c r="O253" s="19">
        <f>IF(L253="","",L253*N253)</f>
        <v/>
      </c>
      <c r="P253" s="19">
        <f>IF(M253="","",M253*N253)</f>
        <v/>
      </c>
      <c r="Q253" s="8" t="n"/>
      <c r="R253" s="8" t="inlineStr">
        <is>
          <t>En stock</t>
        </is>
      </c>
      <c r="S253" s="9" t="n"/>
    </row>
    <row r="254">
      <c r="A254" s="8" t="n">
        <v>248</v>
      </c>
      <c r="B254" s="8" t="inlineStr">
        <is>
          <t>Matières premières</t>
        </is>
      </c>
      <c r="C254" s="8" t="inlineStr">
        <is>
          <t>Ingrédients &gt; Fruits</t>
        </is>
      </c>
      <c r="D254" s="8" t="inlineStr">
        <is>
          <t>Mangue</t>
        </is>
      </c>
      <c r="E254" s="8" t="inlineStr"/>
      <c r="F254" s="8" t="inlineStr">
        <is>
          <t>kg</t>
        </is>
      </c>
      <c r="G254" s="8" t="inlineStr"/>
      <c r="H254" s="14" t="n"/>
      <c r="I254" s="14" t="n">
        <v>0</v>
      </c>
      <c r="J254" s="15" t="n"/>
      <c r="K254" s="16" t="n"/>
      <c r="L254" s="17">
        <f>IF(AND(J254="",K254=""),"",IF(H254="",K254,J254*H254+K254))</f>
        <v/>
      </c>
      <c r="M254" s="17">
        <f>IF(L254="","",L254-I254)</f>
        <v/>
      </c>
      <c r="N254" s="18" t="n">
        <v>40</v>
      </c>
      <c r="O254" s="19">
        <f>IF(L254="","",L254*N254)</f>
        <v/>
      </c>
      <c r="P254" s="19">
        <f>IF(M254="","",M254*N254)</f>
        <v/>
      </c>
      <c r="Q254" s="8" t="n"/>
      <c r="R254" s="8" t="inlineStr">
        <is>
          <t>En stock</t>
        </is>
      </c>
      <c r="S254" s="9" t="n"/>
    </row>
    <row r="255">
      <c r="A255" s="8" t="n">
        <v>249</v>
      </c>
      <c r="B255" s="8" t="inlineStr">
        <is>
          <t>Matières premières</t>
        </is>
      </c>
      <c r="C255" s="8" t="inlineStr">
        <is>
          <t>Ingrédients &gt; Fruits</t>
        </is>
      </c>
      <c r="D255" s="8" t="inlineStr">
        <is>
          <t>Mangue</t>
        </is>
      </c>
      <c r="E255" s="8" t="inlineStr">
        <is>
          <t>Marché local</t>
        </is>
      </c>
      <c r="F255" s="8" t="inlineStr">
        <is>
          <t>kg</t>
        </is>
      </c>
      <c r="G255" s="8" t="inlineStr"/>
      <c r="H255" s="14" t="n"/>
      <c r="I255" s="14" t="n">
        <v>0</v>
      </c>
      <c r="J255" s="15" t="n"/>
      <c r="K255" s="16" t="n"/>
      <c r="L255" s="17">
        <f>IF(AND(J255="",K255=""),"",IF(H255="",K255,J255*H255+K255))</f>
        <v/>
      </c>
      <c r="M255" s="17">
        <f>IF(L255="","",L255-I255)</f>
        <v/>
      </c>
      <c r="N255" s="18" t="n">
        <v>35</v>
      </c>
      <c r="O255" s="19">
        <f>IF(L255="","",L255*N255)</f>
        <v/>
      </c>
      <c r="P255" s="19">
        <f>IF(M255="","",M255*N255)</f>
        <v/>
      </c>
      <c r="Q255" s="8" t="n"/>
      <c r="R255" s="8" t="inlineStr">
        <is>
          <t>En stock</t>
        </is>
      </c>
      <c r="S255" s="9" t="n"/>
    </row>
    <row r="256">
      <c r="A256" s="8" t="n">
        <v>250</v>
      </c>
      <c r="B256" s="8" t="inlineStr">
        <is>
          <t>Matières premières</t>
        </is>
      </c>
      <c r="C256" s="8" t="inlineStr">
        <is>
          <t>Ingrédients &gt; Fruits</t>
        </is>
      </c>
      <c r="D256" s="8" t="inlineStr">
        <is>
          <t>Myrtille</t>
        </is>
      </c>
      <c r="E256" s="8" t="inlineStr"/>
      <c r="F256" s="8" t="inlineStr">
        <is>
          <t>unit</t>
        </is>
      </c>
      <c r="G256" s="8" t="inlineStr"/>
      <c r="H256" s="14" t="n"/>
      <c r="I256" s="14" t="n">
        <v>0</v>
      </c>
      <c r="J256" s="15" t="n"/>
      <c r="K256" s="16" t="n"/>
      <c r="L256" s="17">
        <f>IF(AND(J256="",K256=""),"",IF(H256="",K256,J256*H256+K256))</f>
        <v/>
      </c>
      <c r="M256" s="17">
        <f>IF(L256="","",L256-I256)</f>
        <v/>
      </c>
      <c r="N256" s="18" t="n">
        <v>17</v>
      </c>
      <c r="O256" s="19">
        <f>IF(L256="","",L256*N256)</f>
        <v/>
      </c>
      <c r="P256" s="19">
        <f>IF(M256="","",M256*N256)</f>
        <v/>
      </c>
      <c r="Q256" s="8" t="n"/>
      <c r="R256" s="8" t="inlineStr">
        <is>
          <t>En stock</t>
        </is>
      </c>
      <c r="S256" s="9" t="n"/>
    </row>
    <row r="257">
      <c r="A257" s="8" t="n">
        <v>251</v>
      </c>
      <c r="B257" s="8" t="inlineStr">
        <is>
          <t>Matières premières</t>
        </is>
      </c>
      <c r="C257" s="8" t="inlineStr">
        <is>
          <t>Ingrédients &gt; Fruits</t>
        </is>
      </c>
      <c r="D257" s="8" t="inlineStr">
        <is>
          <t>Orange</t>
        </is>
      </c>
      <c r="E257" s="8" t="inlineStr"/>
      <c r="F257" s="8" t="inlineStr">
        <is>
          <t>kg</t>
        </is>
      </c>
      <c r="G257" s="8" t="inlineStr"/>
      <c r="H257" s="14" t="n"/>
      <c r="I257" s="14" t="n">
        <v>0</v>
      </c>
      <c r="J257" s="15" t="n"/>
      <c r="K257" s="16" t="n"/>
      <c r="L257" s="17">
        <f>IF(AND(J257="",K257=""),"",IF(H257="",K257,J257*H257+K257))</f>
        <v/>
      </c>
      <c r="M257" s="17">
        <f>IF(L257="","",L257-I257)</f>
        <v/>
      </c>
      <c r="N257" s="18" t="n">
        <v>7</v>
      </c>
      <c r="O257" s="19">
        <f>IF(L257="","",L257*N257)</f>
        <v/>
      </c>
      <c r="P257" s="19">
        <f>IF(M257="","",M257*N257)</f>
        <v/>
      </c>
      <c r="Q257" s="8" t="n"/>
      <c r="R257" s="8" t="inlineStr">
        <is>
          <t>En stock</t>
        </is>
      </c>
      <c r="S257" s="9" t="n"/>
    </row>
    <row r="258">
      <c r="A258" s="8" t="n">
        <v>252</v>
      </c>
      <c r="B258" s="8" t="inlineStr">
        <is>
          <t>Matières premières</t>
        </is>
      </c>
      <c r="C258" s="8" t="inlineStr">
        <is>
          <t>Ingrédients &gt; Fruits</t>
        </is>
      </c>
      <c r="D258" s="8" t="inlineStr">
        <is>
          <t>Pomme</t>
        </is>
      </c>
      <c r="E258" s="8" t="inlineStr">
        <is>
          <t>Marché local</t>
        </is>
      </c>
      <c r="F258" s="8" t="inlineStr">
        <is>
          <t>kg</t>
        </is>
      </c>
      <c r="G258" s="8" t="inlineStr"/>
      <c r="H258" s="14" t="n"/>
      <c r="I258" s="14" t="n">
        <v>0</v>
      </c>
      <c r="J258" s="15" t="n"/>
      <c r="K258" s="16" t="n"/>
      <c r="L258" s="17">
        <f>IF(AND(J258="",K258=""),"",IF(H258="",K258,J258*H258+K258))</f>
        <v/>
      </c>
      <c r="M258" s="17">
        <f>IF(L258="","",L258-I258)</f>
        <v/>
      </c>
      <c r="N258" s="18" t="n">
        <v>20</v>
      </c>
      <c r="O258" s="19">
        <f>IF(L258="","",L258*N258)</f>
        <v/>
      </c>
      <c r="P258" s="19">
        <f>IF(M258="","",M258*N258)</f>
        <v/>
      </c>
      <c r="Q258" s="8" t="n"/>
      <c r="R258" s="8" t="inlineStr">
        <is>
          <t>Stock a 0</t>
        </is>
      </c>
      <c r="S258" s="9" t="n"/>
    </row>
    <row r="259">
      <c r="A259" s="8" t="n">
        <v>253</v>
      </c>
      <c r="B259" s="8" t="inlineStr">
        <is>
          <t>Matières premières</t>
        </is>
      </c>
      <c r="C259" s="8" t="inlineStr">
        <is>
          <t>Ingrédients &gt; Fruits</t>
        </is>
      </c>
      <c r="D259" s="8" t="inlineStr">
        <is>
          <t>Purée mangue</t>
        </is>
      </c>
      <c r="E259" s="8" t="inlineStr">
        <is>
          <t>Générique</t>
        </is>
      </c>
      <c r="F259" s="8" t="inlineStr">
        <is>
          <t>l</t>
        </is>
      </c>
      <c r="G259" s="8" t="inlineStr"/>
      <c r="H259" s="14" t="n"/>
      <c r="I259" s="14" t="n">
        <v>0</v>
      </c>
      <c r="J259" s="15" t="n"/>
      <c r="K259" s="16" t="n"/>
      <c r="L259" s="17">
        <f>IF(AND(J259="",K259=""),"",IF(H259="",K259,J259*H259+K259))</f>
        <v/>
      </c>
      <c r="M259" s="17">
        <f>IF(L259="","",L259-I259)</f>
        <v/>
      </c>
      <c r="N259" s="18" t="n">
        <v>94</v>
      </c>
      <c r="O259" s="19">
        <f>IF(L259="","",L259*N259)</f>
        <v/>
      </c>
      <c r="P259" s="19">
        <f>IF(M259="","",M259*N259)</f>
        <v/>
      </c>
      <c r="Q259" s="8" t="n"/>
      <c r="R259" s="8" t="inlineStr">
        <is>
          <t>En stock</t>
        </is>
      </c>
      <c r="S259" s="9" t="n"/>
    </row>
    <row r="260">
      <c r="A260" s="8" t="n">
        <v>254</v>
      </c>
      <c r="B260" s="8" t="inlineStr">
        <is>
          <t>Matières premières</t>
        </is>
      </c>
      <c r="C260" s="8" t="inlineStr">
        <is>
          <t>Ingrédients &gt; Fruits</t>
        </is>
      </c>
      <c r="D260" s="8" t="inlineStr">
        <is>
          <t>Purée raisin</t>
        </is>
      </c>
      <c r="E260" s="8" t="inlineStr">
        <is>
          <t>Générique</t>
        </is>
      </c>
      <c r="F260" s="8" t="inlineStr">
        <is>
          <t>l</t>
        </is>
      </c>
      <c r="G260" s="8" t="inlineStr"/>
      <c r="H260" s="14" t="n"/>
      <c r="I260" s="14" t="n">
        <v>0</v>
      </c>
      <c r="J260" s="15" t="n"/>
      <c r="K260" s="16" t="n"/>
      <c r="L260" s="17">
        <f>IF(AND(J260="",K260=""),"",IF(H260="",K260,J260*H260+K260))</f>
        <v/>
      </c>
      <c r="M260" s="17">
        <f>IF(L260="","",L260-I260)</f>
        <v/>
      </c>
      <c r="N260" s="18" t="n">
        <v>95.83</v>
      </c>
      <c r="O260" s="19">
        <f>IF(L260="","",L260*N260)</f>
        <v/>
      </c>
      <c r="P260" s="19">
        <f>IF(M260="","",M260*N260)</f>
        <v/>
      </c>
      <c r="Q260" s="8" t="n"/>
      <c r="R260" s="8" t="inlineStr">
        <is>
          <t>Jamais recu</t>
        </is>
      </c>
      <c r="S260" s="9" t="n"/>
    </row>
    <row r="261">
      <c r="A261" s="8" t="n">
        <v>255</v>
      </c>
      <c r="B261" s="8" t="inlineStr">
        <is>
          <t>Matières premières</t>
        </is>
      </c>
      <c r="C261" s="8" t="inlineStr">
        <is>
          <t>Ingrédients &gt; Fruits secs</t>
        </is>
      </c>
      <c r="D261" s="8" t="inlineStr">
        <is>
          <t>Amande concassée</t>
        </is>
      </c>
      <c r="E261" s="8" t="inlineStr">
        <is>
          <t>Ovotec</t>
        </is>
      </c>
      <c r="F261" s="8" t="inlineStr">
        <is>
          <t>kg</t>
        </is>
      </c>
      <c r="G261" s="8" t="inlineStr"/>
      <c r="H261" s="14" t="n"/>
      <c r="I261" s="14" t="n">
        <v>0</v>
      </c>
      <c r="J261" s="15" t="n"/>
      <c r="K261" s="16" t="n"/>
      <c r="L261" s="17">
        <f>IF(AND(J261="",K261=""),"",IF(H261="",K261,J261*H261+K261))</f>
        <v/>
      </c>
      <c r="M261" s="17">
        <f>IF(L261="","",L261-I261)</f>
        <v/>
      </c>
      <c r="N261" s="18" t="n">
        <v>99.5</v>
      </c>
      <c r="O261" s="19">
        <f>IF(L261="","",L261*N261)</f>
        <v/>
      </c>
      <c r="P261" s="19">
        <f>IF(M261="","",M261*N261)</f>
        <v/>
      </c>
      <c r="Q261" s="8" t="inlineStr">
        <is>
          <t>2027-06-12</t>
        </is>
      </c>
      <c r="R261" s="8" t="inlineStr">
        <is>
          <t>En stock</t>
        </is>
      </c>
      <c r="S261" s="9" t="n"/>
    </row>
    <row r="262">
      <c r="A262" s="8" t="n">
        <v>256</v>
      </c>
      <c r="B262" s="8" t="inlineStr">
        <is>
          <t>Matières premières</t>
        </is>
      </c>
      <c r="C262" s="8" t="inlineStr">
        <is>
          <t>Ingrédients &gt; Fruits secs</t>
        </is>
      </c>
      <c r="D262" s="8" t="inlineStr">
        <is>
          <t>Amande effilée</t>
        </is>
      </c>
      <c r="E262" s="8" t="inlineStr">
        <is>
          <t>Ovotec</t>
        </is>
      </c>
      <c r="F262" s="8" t="inlineStr">
        <is>
          <t>kg</t>
        </is>
      </c>
      <c r="G262" s="8" t="inlineStr"/>
      <c r="H262" s="14" t="n"/>
      <c r="I262" s="14" t="n">
        <v>0</v>
      </c>
      <c r="J262" s="15" t="n"/>
      <c r="K262" s="30" t="n">
        <v>4</v>
      </c>
      <c r="L262" s="17">
        <f>IF(AND(J262="",K262=""),"",IF(H262="",K262,J262*H262+K262))</f>
        <v/>
      </c>
      <c r="M262" s="17">
        <f>IF(L262="","",L262-I262)</f>
        <v/>
      </c>
      <c r="N262" s="18" t="n">
        <v>99.5</v>
      </c>
      <c r="O262" s="19">
        <f>IF(L262="","",L262*N262)</f>
        <v/>
      </c>
      <c r="P262" s="19">
        <f>IF(M262="","",M262*N262)</f>
        <v/>
      </c>
      <c r="Q262" s="8" t="inlineStr">
        <is>
          <t>2027-05-06</t>
        </is>
      </c>
      <c r="R262" s="8" t="inlineStr">
        <is>
          <t>En stock</t>
        </is>
      </c>
      <c r="S262" s="9" t="n"/>
    </row>
    <row r="263">
      <c r="A263" s="8" t="n">
        <v>257</v>
      </c>
      <c r="B263" s="8" t="inlineStr">
        <is>
          <t>Matières premières</t>
        </is>
      </c>
      <c r="C263" s="8" t="inlineStr">
        <is>
          <t>Ingrédients &gt; Fruits secs</t>
        </is>
      </c>
      <c r="D263" s="8" t="inlineStr">
        <is>
          <t>Amande hachée</t>
        </is>
      </c>
      <c r="E263" s="8" t="inlineStr">
        <is>
          <t>Générique</t>
        </is>
      </c>
      <c r="F263" s="8" t="inlineStr">
        <is>
          <t>kg</t>
        </is>
      </c>
      <c r="G263" s="8" t="inlineStr"/>
      <c r="H263" s="14" t="n"/>
      <c r="I263" s="14" t="n">
        <v>0</v>
      </c>
      <c r="J263" s="15" t="n"/>
      <c r="K263" s="30" t="n">
        <v>6</v>
      </c>
      <c r="L263" s="17">
        <f>IF(AND(J263="",K263=""),"",IF(H263="",K263,J263*H263+K263))</f>
        <v/>
      </c>
      <c r="M263" s="17">
        <f>IF(L263="","",L263-I263)</f>
        <v/>
      </c>
      <c r="N263" s="18" t="n">
        <v>99.5</v>
      </c>
      <c r="O263" s="19">
        <f>IF(L263="","",L263*N263)</f>
        <v/>
      </c>
      <c r="P263" s="19">
        <f>IF(M263="","",M263*N263)</f>
        <v/>
      </c>
      <c r="Q263" s="8" t="n"/>
      <c r="R263" s="8" t="inlineStr">
        <is>
          <t>Stock a 0</t>
        </is>
      </c>
      <c r="S263" s="9" t="n"/>
    </row>
    <row r="264">
      <c r="A264" s="8" t="n">
        <v>258</v>
      </c>
      <c r="B264" s="8" t="inlineStr">
        <is>
          <t>Matières premières</t>
        </is>
      </c>
      <c r="C264" s="8" t="inlineStr">
        <is>
          <t>Ingrédients &gt; Fruits secs</t>
        </is>
      </c>
      <c r="D264" s="8" t="inlineStr">
        <is>
          <t>Amande poudre</t>
        </is>
      </c>
      <c r="E264" s="8" t="inlineStr">
        <is>
          <t>Ovotec</t>
        </is>
      </c>
      <c r="F264" s="8" t="inlineStr">
        <is>
          <t>kg</t>
        </is>
      </c>
      <c r="G264" s="8" t="inlineStr"/>
      <c r="H264" s="14" t="n"/>
      <c r="I264" s="14" t="n">
        <v>0</v>
      </c>
      <c r="J264" s="15" t="n"/>
      <c r="K264" s="30" t="n">
        <v>5</v>
      </c>
      <c r="L264" s="17">
        <f>IF(AND(J264="",K264=""),"",IF(H264="",K264,J264*H264+K264))</f>
        <v/>
      </c>
      <c r="M264" s="17">
        <f>IF(L264="","",L264-I264)</f>
        <v/>
      </c>
      <c r="N264" s="18" t="n">
        <v>99.5</v>
      </c>
      <c r="O264" s="19">
        <f>IF(L264="","",L264*N264)</f>
        <v/>
      </c>
      <c r="P264" s="19">
        <f>IF(M264="","",M264*N264)</f>
        <v/>
      </c>
      <c r="Q264" s="8" t="inlineStr">
        <is>
          <t>2027-06-15</t>
        </is>
      </c>
      <c r="R264" s="8" t="inlineStr">
        <is>
          <t>En stock</t>
        </is>
      </c>
      <c r="S264" s="9" t="inlineStr">
        <is>
          <t>carnet : 'Poudre amande'</t>
        </is>
      </c>
    </row>
    <row r="265">
      <c r="A265" s="8" t="n">
        <v>259</v>
      </c>
      <c r="B265" s="8" t="inlineStr">
        <is>
          <t>Matières premières</t>
        </is>
      </c>
      <c r="C265" s="8" t="inlineStr">
        <is>
          <t>Ingrédients &gt; Fruits secs</t>
        </is>
      </c>
      <c r="D265" s="8" t="inlineStr">
        <is>
          <t>Amande poudre extra fine</t>
        </is>
      </c>
      <c r="E265" s="8" t="inlineStr">
        <is>
          <t>Ovotec</t>
        </is>
      </c>
      <c r="F265" s="8" t="inlineStr">
        <is>
          <t>kg</t>
        </is>
      </c>
      <c r="G265" s="8" t="inlineStr"/>
      <c r="H265" s="14" t="n"/>
      <c r="I265" s="14" t="n">
        <v>0</v>
      </c>
      <c r="J265" s="15" t="n"/>
      <c r="K265" s="16" t="n"/>
      <c r="L265" s="17">
        <f>IF(AND(J265="",K265=""),"",IF(H265="",K265,J265*H265+K265))</f>
        <v/>
      </c>
      <c r="M265" s="17">
        <f>IF(L265="","",L265-I265)</f>
        <v/>
      </c>
      <c r="N265" s="18" t="n">
        <v>99.5</v>
      </c>
      <c r="O265" s="19">
        <f>IF(L265="","",L265*N265)</f>
        <v/>
      </c>
      <c r="P265" s="19">
        <f>IF(M265="","",M265*N265)</f>
        <v/>
      </c>
      <c r="Q265" s="8" t="n"/>
      <c r="R265" s="8" t="inlineStr">
        <is>
          <t>Jamais recu</t>
        </is>
      </c>
      <c r="S265" s="9" t="n"/>
    </row>
    <row r="266">
      <c r="A266" s="8" t="n">
        <v>260</v>
      </c>
      <c r="B266" s="8" t="inlineStr">
        <is>
          <t>Matières premières</t>
        </is>
      </c>
      <c r="C266" s="8" t="inlineStr">
        <is>
          <t>Ingrédients &gt; Fruits secs</t>
        </is>
      </c>
      <c r="D266" s="8" t="inlineStr">
        <is>
          <t>Amandes entières</t>
        </is>
      </c>
      <c r="E266" s="8" t="inlineStr">
        <is>
          <t>Abdelilah</t>
        </is>
      </c>
      <c r="F266" s="8" t="inlineStr">
        <is>
          <t>kg</t>
        </is>
      </c>
      <c r="G266" s="8" t="inlineStr"/>
      <c r="H266" s="14" t="n"/>
      <c r="I266" s="14" t="n">
        <v>0</v>
      </c>
      <c r="J266" s="15" t="n"/>
      <c r="K266" s="16" t="n"/>
      <c r="L266" s="17">
        <f>IF(AND(J266="",K266=""),"",IF(H266="",K266,J266*H266+K266))</f>
        <v/>
      </c>
      <c r="M266" s="17">
        <f>IF(L266="","",L266-I266)</f>
        <v/>
      </c>
      <c r="N266" s="18" t="n">
        <v>0</v>
      </c>
      <c r="O266" s="19">
        <f>IF(L266="","",L266*N266)</f>
        <v/>
      </c>
      <c r="P266" s="19">
        <f>IF(M266="","",M266*N266)</f>
        <v/>
      </c>
      <c r="Q266" s="8" t="n"/>
      <c r="R266" s="8" t="inlineStr">
        <is>
          <t>Jamais recu</t>
        </is>
      </c>
      <c r="S266" s="9" t="n"/>
    </row>
    <row r="267">
      <c r="A267" s="8" t="n">
        <v>261</v>
      </c>
      <c r="B267" s="8" t="inlineStr">
        <is>
          <t>Matières premières</t>
        </is>
      </c>
      <c r="C267" s="8" t="inlineStr">
        <is>
          <t>Ingrédients &gt; Fruits secs</t>
        </is>
      </c>
      <c r="D267" s="8" t="inlineStr">
        <is>
          <t>Figues sèches</t>
        </is>
      </c>
      <c r="E267" s="8" t="inlineStr">
        <is>
          <t>Duchef</t>
        </is>
      </c>
      <c r="F267" s="8" t="inlineStr">
        <is>
          <t>kg</t>
        </is>
      </c>
      <c r="G267" s="8" t="inlineStr"/>
      <c r="H267" s="14" t="n"/>
      <c r="I267" s="14" t="n">
        <v>0</v>
      </c>
      <c r="J267" s="15" t="n"/>
      <c r="K267" s="16" t="n"/>
      <c r="L267" s="17">
        <f>IF(AND(J267="",K267=""),"",IF(H267="",K267,J267*H267+K267))</f>
        <v/>
      </c>
      <c r="M267" s="17">
        <f>IF(L267="","",L267-I267)</f>
        <v/>
      </c>
      <c r="N267" s="18" t="n">
        <v>143</v>
      </c>
      <c r="O267" s="19">
        <f>IF(L267="","",L267*N267)</f>
        <v/>
      </c>
      <c r="P267" s="19">
        <f>IF(M267="","",M267*N267)</f>
        <v/>
      </c>
      <c r="Q267" s="8" t="n"/>
      <c r="R267" s="8" t="inlineStr">
        <is>
          <t>Jamais recu</t>
        </is>
      </c>
      <c r="S267" s="9" t="n"/>
    </row>
    <row r="268">
      <c r="A268" s="8" t="n">
        <v>262</v>
      </c>
      <c r="B268" s="8" t="inlineStr">
        <is>
          <t>Matières premières</t>
        </is>
      </c>
      <c r="C268" s="8" t="inlineStr">
        <is>
          <t>Ingrédients &gt; Fruits secs</t>
        </is>
      </c>
      <c r="D268" s="8" t="inlineStr">
        <is>
          <t>Grains anis vert</t>
        </is>
      </c>
      <c r="E268" s="8" t="inlineStr">
        <is>
          <t>Duchef</t>
        </is>
      </c>
      <c r="F268" s="8" t="inlineStr">
        <is>
          <t>kg</t>
        </is>
      </c>
      <c r="G268" s="8" t="inlineStr"/>
      <c r="H268" s="14" t="n"/>
      <c r="I268" s="14" t="n">
        <v>0</v>
      </c>
      <c r="J268" s="15" t="n"/>
      <c r="K268" s="16" t="n"/>
      <c r="L268" s="17">
        <f>IF(AND(J268="",K268=""),"",IF(H268="",K268,J268*H268+K268))</f>
        <v/>
      </c>
      <c r="M268" s="17">
        <f>IF(L268="","",L268-I268)</f>
        <v/>
      </c>
      <c r="N268" s="18" t="n">
        <v>42</v>
      </c>
      <c r="O268" s="19">
        <f>IF(L268="","",L268*N268)</f>
        <v/>
      </c>
      <c r="P268" s="19">
        <f>IF(M268="","",M268*N268)</f>
        <v/>
      </c>
      <c r="Q268" s="8" t="n"/>
      <c r="R268" s="8" t="inlineStr">
        <is>
          <t>Jamais recu</t>
        </is>
      </c>
      <c r="S268" s="9" t="n"/>
    </row>
    <row r="269">
      <c r="A269" s="8" t="n">
        <v>263</v>
      </c>
      <c r="B269" s="8" t="inlineStr">
        <is>
          <t>Matières premières</t>
        </is>
      </c>
      <c r="C269" s="8" t="inlineStr">
        <is>
          <t>Ingrédients &gt; Fruits secs</t>
        </is>
      </c>
      <c r="D269" s="8" t="inlineStr">
        <is>
          <t>Grains de sésame</t>
        </is>
      </c>
      <c r="E269" s="8" t="inlineStr">
        <is>
          <t>Duchef</t>
        </is>
      </c>
      <c r="F269" s="8" t="inlineStr">
        <is>
          <t>kg</t>
        </is>
      </c>
      <c r="G269" s="8" t="inlineStr"/>
      <c r="H269" s="14" t="n"/>
      <c r="I269" s="14" t="n">
        <v>0</v>
      </c>
      <c r="J269" s="15" t="n"/>
      <c r="K269" s="16" t="n"/>
      <c r="L269" s="17">
        <f>IF(AND(J269="",K269=""),"",IF(H269="",K269,J269*H269+K269))</f>
        <v/>
      </c>
      <c r="M269" s="17">
        <f>IF(L269="","",L269-I269)</f>
        <v/>
      </c>
      <c r="N269" s="18" t="n">
        <v>24</v>
      </c>
      <c r="O269" s="19">
        <f>IF(L269="","",L269*N269)</f>
        <v/>
      </c>
      <c r="P269" s="19">
        <f>IF(M269="","",M269*N269)</f>
        <v/>
      </c>
      <c r="Q269" s="8" t="n"/>
      <c r="R269" s="8" t="inlineStr">
        <is>
          <t>Stock a 0</t>
        </is>
      </c>
      <c r="S269" s="9" t="n"/>
    </row>
    <row r="270">
      <c r="A270" s="8" t="n">
        <v>264</v>
      </c>
      <c r="B270" s="8" t="inlineStr">
        <is>
          <t>Matières premières</t>
        </is>
      </c>
      <c r="C270" s="8" t="inlineStr">
        <is>
          <t>Ingrédients &gt; Fruits secs</t>
        </is>
      </c>
      <c r="D270" s="8" t="inlineStr">
        <is>
          <t>Grenoble</t>
        </is>
      </c>
      <c r="E270" s="8" t="inlineStr"/>
      <c r="F270" s="8" t="inlineStr">
        <is>
          <t>kg</t>
        </is>
      </c>
      <c r="G270" s="8" t="inlineStr"/>
      <c r="H270" s="14" t="n"/>
      <c r="I270" s="14" t="n">
        <v>0</v>
      </c>
      <c r="J270" s="15" t="n"/>
      <c r="K270" s="16" t="n"/>
      <c r="L270" s="17">
        <f>IF(AND(J270="",K270=""),"",IF(H270="",K270,J270*H270+K270))</f>
        <v/>
      </c>
      <c r="M270" s="17">
        <f>IF(L270="","",L270-I270)</f>
        <v/>
      </c>
      <c r="N270" s="18" t="n">
        <v>0</v>
      </c>
      <c r="O270" s="19">
        <f>IF(L270="","",L270*N270)</f>
        <v/>
      </c>
      <c r="P270" s="19">
        <f>IF(M270="","",M270*N270)</f>
        <v/>
      </c>
      <c r="Q270" s="8" t="n"/>
      <c r="R270" s="8" t="inlineStr">
        <is>
          <t>Jamais recu</t>
        </is>
      </c>
      <c r="S270" s="9" t="n"/>
    </row>
    <row r="271">
      <c r="A271" s="8" t="n">
        <v>265</v>
      </c>
      <c r="B271" s="8" t="inlineStr">
        <is>
          <t>Matières premières</t>
        </is>
      </c>
      <c r="C271" s="8" t="inlineStr">
        <is>
          <t>Ingrédients &gt; Fruits secs</t>
        </is>
      </c>
      <c r="D271" s="8" t="inlineStr">
        <is>
          <t>Mélange de graines</t>
        </is>
      </c>
      <c r="E271" s="8" t="inlineStr">
        <is>
          <t>Générique</t>
        </is>
      </c>
      <c r="F271" s="8" t="inlineStr">
        <is>
          <t>kg</t>
        </is>
      </c>
      <c r="G271" s="8" t="inlineStr"/>
      <c r="H271" s="14" t="n"/>
      <c r="I271" s="14" t="n">
        <v>0</v>
      </c>
      <c r="J271" s="15" t="n"/>
      <c r="K271" s="16" t="n"/>
      <c r="L271" s="17">
        <f>IF(AND(J271="",K271=""),"",IF(H271="",K271,J271*H271+K271))</f>
        <v/>
      </c>
      <c r="M271" s="17">
        <f>IF(L271="","",L271-I271)</f>
        <v/>
      </c>
      <c r="N271" s="18" t="n">
        <v>28.334</v>
      </c>
      <c r="O271" s="19">
        <f>IF(L271="","",L271*N271)</f>
        <v/>
      </c>
      <c r="P271" s="19">
        <f>IF(M271="","",M271*N271)</f>
        <v/>
      </c>
      <c r="Q271" s="8" t="n"/>
      <c r="R271" s="8" t="inlineStr">
        <is>
          <t>Jamais recu</t>
        </is>
      </c>
      <c r="S271" s="9" t="n"/>
    </row>
    <row r="272">
      <c r="A272" s="8" t="n">
        <v>266</v>
      </c>
      <c r="B272" s="8" t="inlineStr">
        <is>
          <t>Matières premières</t>
        </is>
      </c>
      <c r="C272" s="8" t="inlineStr">
        <is>
          <t>Ingrédients &gt; Fruits secs</t>
        </is>
      </c>
      <c r="D272" s="8" t="inlineStr">
        <is>
          <t>Noix décortiquées</t>
        </is>
      </c>
      <c r="E272" s="8" t="inlineStr">
        <is>
          <t>Duchef</t>
        </is>
      </c>
      <c r="F272" s="8" t="inlineStr">
        <is>
          <t>kg</t>
        </is>
      </c>
      <c r="G272" s="8" t="inlineStr"/>
      <c r="H272" s="14" t="n"/>
      <c r="I272" s="14" t="n">
        <v>0</v>
      </c>
      <c r="J272" s="15" t="n"/>
      <c r="K272" s="16" t="n"/>
      <c r="L272" s="17">
        <f>IF(AND(J272="",K272=""),"",IF(H272="",K272,J272*H272+K272))</f>
        <v/>
      </c>
      <c r="M272" s="17">
        <f>IF(L272="","",L272-I272)</f>
        <v/>
      </c>
      <c r="N272" s="18" t="n">
        <v>116.68</v>
      </c>
      <c r="O272" s="19">
        <f>IF(L272="","",L272*N272)</f>
        <v/>
      </c>
      <c r="P272" s="19">
        <f>IF(M272="","",M272*N272)</f>
        <v/>
      </c>
      <c r="Q272" s="8" t="n"/>
      <c r="R272" s="8" t="inlineStr">
        <is>
          <t>Jamais recu</t>
        </is>
      </c>
      <c r="S272" s="9" t="n"/>
    </row>
    <row r="273">
      <c r="A273" s="8" t="n">
        <v>267</v>
      </c>
      <c r="B273" s="8" t="inlineStr">
        <is>
          <t>Matières premières</t>
        </is>
      </c>
      <c r="C273" s="8" t="inlineStr">
        <is>
          <t>Ingrédients &gt; Fruits secs</t>
        </is>
      </c>
      <c r="D273" s="8" t="inlineStr">
        <is>
          <t>Pavot bleu</t>
        </is>
      </c>
      <c r="E273" s="8" t="inlineStr">
        <is>
          <t>Générique</t>
        </is>
      </c>
      <c r="F273" s="8" t="inlineStr">
        <is>
          <t>kg</t>
        </is>
      </c>
      <c r="G273" s="8" t="inlineStr"/>
      <c r="H273" s="14" t="n"/>
      <c r="I273" s="14" t="n">
        <v>0</v>
      </c>
      <c r="J273" s="15" t="n"/>
      <c r="K273" s="16" t="n"/>
      <c r="L273" s="17">
        <f>IF(AND(J273="",K273=""),"",IF(H273="",K273,J273*H273+K273))</f>
        <v/>
      </c>
      <c r="M273" s="17">
        <f>IF(L273="","",L273-I273)</f>
        <v/>
      </c>
      <c r="N273" s="18" t="n">
        <v>39.166</v>
      </c>
      <c r="O273" s="19">
        <f>IF(L273="","",L273*N273)</f>
        <v/>
      </c>
      <c r="P273" s="19">
        <f>IF(M273="","",M273*N273)</f>
        <v/>
      </c>
      <c r="Q273" s="8" t="n"/>
      <c r="R273" s="8" t="inlineStr">
        <is>
          <t>En stock</t>
        </is>
      </c>
      <c r="S273" s="9" t="n"/>
    </row>
    <row r="274">
      <c r="A274" s="8" t="n">
        <v>268</v>
      </c>
      <c r="B274" s="8" t="inlineStr">
        <is>
          <t>Matières premières</t>
        </is>
      </c>
      <c r="C274" s="8" t="inlineStr">
        <is>
          <t>Ingrédients &gt; Fruits secs</t>
        </is>
      </c>
      <c r="D274" s="8" t="inlineStr">
        <is>
          <t>Pistache décortiquée</t>
        </is>
      </c>
      <c r="E274" s="8" t="inlineStr">
        <is>
          <t>Générique</t>
        </is>
      </c>
      <c r="F274" s="8" t="inlineStr">
        <is>
          <t>kg</t>
        </is>
      </c>
      <c r="G274" s="8" t="inlineStr"/>
      <c r="H274" s="14" t="n"/>
      <c r="I274" s="14" t="n">
        <v>0</v>
      </c>
      <c r="J274" s="15" t="n"/>
      <c r="K274" s="16" t="n"/>
      <c r="L274" s="17">
        <f>IF(AND(J274="",K274=""),"",IF(H274="",K274,J274*H274+K274))</f>
        <v/>
      </c>
      <c r="M274" s="17">
        <f>IF(L274="","",L274-I274)</f>
        <v/>
      </c>
      <c r="N274" s="18" t="n">
        <v>238.2353</v>
      </c>
      <c r="O274" s="19">
        <f>IF(L274="","",L274*N274)</f>
        <v/>
      </c>
      <c r="P274" s="19">
        <f>IF(M274="","",M274*N274)</f>
        <v/>
      </c>
      <c r="Q274" s="8" t="n"/>
      <c r="R274" s="8" t="inlineStr">
        <is>
          <t>Jamais recu</t>
        </is>
      </c>
      <c r="S274" s="9" t="n"/>
    </row>
    <row r="275">
      <c r="A275" s="8" t="n">
        <v>269</v>
      </c>
      <c r="B275" s="8" t="inlineStr">
        <is>
          <t>Matières premières</t>
        </is>
      </c>
      <c r="C275" s="8" t="inlineStr">
        <is>
          <t>Ingrédients &gt; Fruits secs</t>
        </is>
      </c>
      <c r="D275" s="8" t="inlineStr">
        <is>
          <t>Praliné amande 50%</t>
        </is>
      </c>
      <c r="E275" s="8" t="inlineStr">
        <is>
          <t>Générique</t>
        </is>
      </c>
      <c r="F275" s="8" t="inlineStr">
        <is>
          <t>kg</t>
        </is>
      </c>
      <c r="G275" s="8" t="inlineStr"/>
      <c r="H275" s="14" t="n"/>
      <c r="I275" s="14" t="n">
        <v>0</v>
      </c>
      <c r="J275" s="15" t="n"/>
      <c r="K275" s="16" t="n"/>
      <c r="L275" s="17">
        <f>IF(AND(J275="",K275=""),"",IF(H275="",K275,J275*H275+K275))</f>
        <v/>
      </c>
      <c r="M275" s="17">
        <f>IF(L275="","",L275-I275)</f>
        <v/>
      </c>
      <c r="N275" s="18" t="n">
        <v>51.4068</v>
      </c>
      <c r="O275" s="19">
        <f>IF(L275="","",L275*N275)</f>
        <v/>
      </c>
      <c r="P275" s="19">
        <f>IF(M275="","",M275*N275)</f>
        <v/>
      </c>
      <c r="Q275" s="8" t="n"/>
      <c r="R275" s="8" t="inlineStr">
        <is>
          <t>En stock</t>
        </is>
      </c>
      <c r="S275" s="9" t="n"/>
    </row>
    <row r="276">
      <c r="A276" s="8" t="n">
        <v>270</v>
      </c>
      <c r="B276" s="8" t="inlineStr">
        <is>
          <t>Matières premières</t>
        </is>
      </c>
      <c r="C276" s="8" t="inlineStr">
        <is>
          <t>Ingrédients &gt; Fruits secs</t>
        </is>
      </c>
      <c r="D276" s="8" t="inlineStr">
        <is>
          <t>Praliné noisette 50%</t>
        </is>
      </c>
      <c r="E276" s="8" t="inlineStr">
        <is>
          <t>Générique</t>
        </is>
      </c>
      <c r="F276" s="8" t="inlineStr">
        <is>
          <t>kg</t>
        </is>
      </c>
      <c r="G276" s="8" t="inlineStr"/>
      <c r="H276" s="14" t="n"/>
      <c r="I276" s="14" t="n">
        <v>0</v>
      </c>
      <c r="J276" s="15" t="n"/>
      <c r="K276" s="30" t="n">
        <v>4</v>
      </c>
      <c r="L276" s="17">
        <f>IF(AND(J276="",K276=""),"",IF(H276="",K276,J276*H276+K276))</f>
        <v/>
      </c>
      <c r="M276" s="17">
        <f>IF(L276="","",L276-I276)</f>
        <v/>
      </c>
      <c r="N276" s="18" t="n">
        <v>108.125</v>
      </c>
      <c r="O276" s="19">
        <f>IF(L276="","",L276*N276)</f>
        <v/>
      </c>
      <c r="P276" s="19">
        <f>IF(M276="","",M276*N276)</f>
        <v/>
      </c>
      <c r="Q276" s="8" t="n"/>
      <c r="R276" s="8" t="inlineStr">
        <is>
          <t>En stock</t>
        </is>
      </c>
      <c r="S276" s="9" t="inlineStr">
        <is>
          <t>carnet : 'Praliné noisette'</t>
        </is>
      </c>
    </row>
    <row r="277">
      <c r="A277" s="8" t="n">
        <v>271</v>
      </c>
      <c r="B277" s="8" t="inlineStr">
        <is>
          <t>Matières premières</t>
        </is>
      </c>
      <c r="C277" s="8" t="inlineStr">
        <is>
          <t>Ingrédients &gt; Fruits secs</t>
        </is>
      </c>
      <c r="D277" s="8" t="inlineStr">
        <is>
          <t>Pâte d'amande 50%</t>
        </is>
      </c>
      <c r="E277" s="8" t="inlineStr">
        <is>
          <t>Générique</t>
        </is>
      </c>
      <c r="F277" s="8" t="inlineStr">
        <is>
          <t>kg</t>
        </is>
      </c>
      <c r="G277" s="8" t="inlineStr"/>
      <c r="H277" s="14" t="n"/>
      <c r="I277" s="14" t="n">
        <v>0</v>
      </c>
      <c r="J277" s="15" t="n"/>
      <c r="K277" s="16" t="n"/>
      <c r="L277" s="17">
        <f>IF(AND(J277="",K277=""),"",IF(H277="",K277,J277*H277+K277))</f>
        <v/>
      </c>
      <c r="M277" s="17">
        <f>IF(L277="","",L277-I277)</f>
        <v/>
      </c>
      <c r="N277" s="18" t="n">
        <v>72.5</v>
      </c>
      <c r="O277" s="19">
        <f>IF(L277="","",L277*N277)</f>
        <v/>
      </c>
      <c r="P277" s="19">
        <f>IF(M277="","",M277*N277)</f>
        <v/>
      </c>
      <c r="Q277" s="8" t="n"/>
      <c r="R277" s="8" t="inlineStr">
        <is>
          <t>Jamais recu</t>
        </is>
      </c>
      <c r="S277" s="9" t="n"/>
    </row>
    <row r="278">
      <c r="A278" s="8" t="n">
        <v>272</v>
      </c>
      <c r="B278" s="8" t="inlineStr">
        <is>
          <t>Matières premières</t>
        </is>
      </c>
      <c r="C278" s="8" t="inlineStr">
        <is>
          <t>Ingrédients &gt; Fruits secs</t>
        </is>
      </c>
      <c r="D278" s="8" t="inlineStr">
        <is>
          <t>Raisins secs golden</t>
        </is>
      </c>
      <c r="E278" s="8" t="inlineStr">
        <is>
          <t>Duchef</t>
        </is>
      </c>
      <c r="F278" s="8" t="inlineStr">
        <is>
          <t>kg</t>
        </is>
      </c>
      <c r="G278" s="8" t="inlineStr"/>
      <c r="H278" s="14" t="n"/>
      <c r="I278" s="14" t="n">
        <v>0</v>
      </c>
      <c r="J278" s="15" t="n"/>
      <c r="K278" s="16" t="n"/>
      <c r="L278" s="17">
        <f>IF(AND(J278="",K278=""),"",IF(H278="",K278,J278*H278+K278))</f>
        <v/>
      </c>
      <c r="M278" s="17">
        <f>IF(L278="","",L278-I278)</f>
        <v/>
      </c>
      <c r="N278" s="18" t="n">
        <v>300</v>
      </c>
      <c r="O278" s="19">
        <f>IF(L278="","",L278*N278)</f>
        <v/>
      </c>
      <c r="P278" s="19">
        <f>IF(M278="","",M278*N278)</f>
        <v/>
      </c>
      <c r="Q278" s="8" t="n"/>
      <c r="R278" s="8" t="inlineStr">
        <is>
          <t>Stock a 0</t>
        </is>
      </c>
      <c r="S278" s="9" t="n"/>
    </row>
    <row r="279">
      <c r="A279" s="8" t="n">
        <v>273</v>
      </c>
      <c r="B279" s="8" t="inlineStr">
        <is>
          <t>Matières premières</t>
        </is>
      </c>
      <c r="C279" s="8" t="inlineStr">
        <is>
          <t>Ingrédients &gt; Fruits secs</t>
        </is>
      </c>
      <c r="D279" s="8" t="inlineStr">
        <is>
          <t>Sésame décortiqué</t>
        </is>
      </c>
      <c r="E279" s="8" t="inlineStr">
        <is>
          <t>Générique</t>
        </is>
      </c>
      <c r="F279" s="8" t="inlineStr">
        <is>
          <t>kg</t>
        </is>
      </c>
      <c r="G279" s="8" t="inlineStr"/>
      <c r="H279" s="14" t="n"/>
      <c r="I279" s="14" t="n">
        <v>0</v>
      </c>
      <c r="J279" s="15" t="n"/>
      <c r="K279" s="16" t="n"/>
      <c r="L279" s="17">
        <f>IF(AND(J279="",K279=""),"",IF(H279="",K279,J279*H279+K279))</f>
        <v/>
      </c>
      <c r="M279" s="17">
        <f>IF(L279="","",L279-I279)</f>
        <v/>
      </c>
      <c r="N279" s="18" t="n">
        <v>35</v>
      </c>
      <c r="O279" s="19">
        <f>IF(L279="","",L279*N279)</f>
        <v/>
      </c>
      <c r="P279" s="19">
        <f>IF(M279="","",M279*N279)</f>
        <v/>
      </c>
      <c r="Q279" s="8" t="n"/>
      <c r="R279" s="8" t="inlineStr">
        <is>
          <t>En stock</t>
        </is>
      </c>
      <c r="S279" s="9" t="n"/>
    </row>
    <row r="280">
      <c r="A280" s="8" t="n">
        <v>274</v>
      </c>
      <c r="B280" s="8" t="inlineStr">
        <is>
          <t>Matières premières</t>
        </is>
      </c>
      <c r="C280" s="8" t="inlineStr">
        <is>
          <t>Ingrédients &gt; Gélifiants</t>
        </is>
      </c>
      <c r="D280" s="8" t="inlineStr">
        <is>
          <t>Gélatine en feuille</t>
        </is>
      </c>
      <c r="E280" s="8" t="inlineStr">
        <is>
          <t>Générique</t>
        </is>
      </c>
      <c r="F280" s="8" t="inlineStr">
        <is>
          <t>kg</t>
        </is>
      </c>
      <c r="G280" s="8" t="inlineStr"/>
      <c r="H280" s="14" t="n"/>
      <c r="I280" s="14" t="n">
        <v>0</v>
      </c>
      <c r="J280" s="15" t="n"/>
      <c r="K280" s="16" t="n"/>
      <c r="L280" s="17">
        <f>IF(AND(J280="",K280=""),"",IF(H280="",K280,J280*H280+K280))</f>
        <v/>
      </c>
      <c r="M280" s="17">
        <f>IF(L280="","",L280-I280)</f>
        <v/>
      </c>
      <c r="N280" s="18" t="n">
        <v>266.67</v>
      </c>
      <c r="O280" s="19">
        <f>IF(L280="","",L280*N280)</f>
        <v/>
      </c>
      <c r="P280" s="19">
        <f>IF(M280="","",M280*N280)</f>
        <v/>
      </c>
      <c r="Q280" s="8" t="n"/>
      <c r="R280" s="8" t="inlineStr">
        <is>
          <t>Jamais recu</t>
        </is>
      </c>
      <c r="S280" s="9" t="n"/>
    </row>
    <row r="281">
      <c r="A281" s="8" t="n">
        <v>275</v>
      </c>
      <c r="B281" s="8" t="inlineStr">
        <is>
          <t>Matières premières</t>
        </is>
      </c>
      <c r="C281" s="8" t="inlineStr">
        <is>
          <t>Ingrédients &gt; Gélifiants</t>
        </is>
      </c>
      <c r="D281" s="8" t="inlineStr">
        <is>
          <t>Pectine NH</t>
        </is>
      </c>
      <c r="E281" s="8" t="inlineStr">
        <is>
          <t>Générique</t>
        </is>
      </c>
      <c r="F281" s="8" t="inlineStr">
        <is>
          <t>kg</t>
        </is>
      </c>
      <c r="G281" s="8" t="inlineStr"/>
      <c r="H281" s="14" t="n"/>
      <c r="I281" s="14" t="n">
        <v>0</v>
      </c>
      <c r="J281" s="15" t="n"/>
      <c r="K281" s="16" t="n"/>
      <c r="L281" s="17">
        <f>IF(AND(J281="",K281=""),"",IF(H281="",K281,J281*H281+K281))</f>
        <v/>
      </c>
      <c r="M281" s="17">
        <f>IF(L281="","",L281-I281)</f>
        <v/>
      </c>
      <c r="N281" s="18" t="n">
        <v>515</v>
      </c>
      <c r="O281" s="19">
        <f>IF(L281="","",L281*N281)</f>
        <v/>
      </c>
      <c r="P281" s="19">
        <f>IF(M281="","",M281*N281)</f>
        <v/>
      </c>
      <c r="Q281" s="8" t="n"/>
      <c r="R281" s="8" t="inlineStr">
        <is>
          <t>Jamais recu</t>
        </is>
      </c>
      <c r="S281" s="9" t="n"/>
    </row>
    <row r="282">
      <c r="A282" s="8" t="n">
        <v>276</v>
      </c>
      <c r="B282" s="8" t="inlineStr">
        <is>
          <t>Matières premières</t>
        </is>
      </c>
      <c r="C282" s="8" t="inlineStr">
        <is>
          <t>Ingrédients &gt; Lait &amp; Boissons lactées</t>
        </is>
      </c>
      <c r="D282" s="8" t="inlineStr">
        <is>
          <t>Lait</t>
        </is>
      </c>
      <c r="E282" s="8" t="inlineStr"/>
      <c r="F282" s="8" t="inlineStr">
        <is>
          <t>l</t>
        </is>
      </c>
      <c r="G282" s="8" t="inlineStr"/>
      <c r="H282" s="14" t="n"/>
      <c r="I282" s="14" t="n">
        <v>0</v>
      </c>
      <c r="J282" s="15" t="n"/>
      <c r="K282" s="16" t="n"/>
      <c r="L282" s="17">
        <f>IF(AND(J282="",K282=""),"",IF(H282="",K282,J282*H282+K282))</f>
        <v/>
      </c>
      <c r="M282" s="17">
        <f>IF(L282="","",L282-I282)</f>
        <v/>
      </c>
      <c r="N282" s="18" t="n">
        <v>10</v>
      </c>
      <c r="O282" s="19">
        <f>IF(L282="","",L282*N282)</f>
        <v/>
      </c>
      <c r="P282" s="19">
        <f>IF(M282="","",M282*N282)</f>
        <v/>
      </c>
      <c r="Q282" s="8" t="n"/>
      <c r="R282" s="8" t="inlineStr">
        <is>
          <t>En stock</t>
        </is>
      </c>
      <c r="S282" s="9" t="n"/>
    </row>
    <row r="283">
      <c r="A283" s="8" t="n">
        <v>277</v>
      </c>
      <c r="B283" s="8" t="inlineStr">
        <is>
          <t>Matières premières</t>
        </is>
      </c>
      <c r="C283" s="8" t="inlineStr">
        <is>
          <t>Ingrédients &gt; Lait &amp; Boissons lactées</t>
        </is>
      </c>
      <c r="D283" s="8" t="inlineStr">
        <is>
          <t>Pack uht entier jaou</t>
        </is>
      </c>
      <c r="E283" s="8" t="inlineStr"/>
      <c r="F283" s="8" t="inlineStr">
        <is>
          <t>kg</t>
        </is>
      </c>
      <c r="G283" s="8" t="inlineStr"/>
      <c r="H283" s="14" t="n"/>
      <c r="I283" s="14" t="n">
        <v>0</v>
      </c>
      <c r="J283" s="15" t="n"/>
      <c r="K283" s="16" t="n"/>
      <c r="L283" s="17">
        <f>IF(AND(J283="",K283=""),"",IF(H283="",K283,J283*H283+K283))</f>
        <v/>
      </c>
      <c r="M283" s="17">
        <f>IF(L283="","",L283-I283)</f>
        <v/>
      </c>
      <c r="N283" s="18" t="n">
        <v>10</v>
      </c>
      <c r="O283" s="19">
        <f>IF(L283="","",L283*N283)</f>
        <v/>
      </c>
      <c r="P283" s="19">
        <f>IF(M283="","",M283*N283)</f>
        <v/>
      </c>
      <c r="Q283" s="8" t="n"/>
      <c r="R283" s="8" t="inlineStr">
        <is>
          <t>En stock</t>
        </is>
      </c>
      <c r="S283" s="9" t="n"/>
    </row>
    <row r="284">
      <c r="A284" s="8" t="n">
        <v>278</v>
      </c>
      <c r="B284" s="8" t="inlineStr">
        <is>
          <t>Matières premières</t>
        </is>
      </c>
      <c r="C284" s="8" t="inlineStr">
        <is>
          <t>Ingrédients &gt; Levures &amp; agents</t>
        </is>
      </c>
      <c r="D284" s="8" t="inlineStr">
        <is>
          <t>Améliorant Pain Perfect</t>
        </is>
      </c>
      <c r="E284" s="8" t="inlineStr">
        <is>
          <t>Perfect</t>
        </is>
      </c>
      <c r="F284" s="8" t="inlineStr">
        <is>
          <t>kg</t>
        </is>
      </c>
      <c r="G284" s="8" t="inlineStr"/>
      <c r="H284" s="14" t="n"/>
      <c r="I284" s="14" t="n">
        <v>0</v>
      </c>
      <c r="J284" s="15" t="n"/>
      <c r="K284" s="16" t="n"/>
      <c r="L284" s="17">
        <f>IF(AND(J284="",K284=""),"",IF(H284="",K284,J284*H284+K284))</f>
        <v/>
      </c>
      <c r="M284" s="17">
        <f>IF(L284="","",L284-I284)</f>
        <v/>
      </c>
      <c r="N284" s="18" t="n">
        <v>20</v>
      </c>
      <c r="O284" s="19">
        <f>IF(L284="","",L284*N284)</f>
        <v/>
      </c>
      <c r="P284" s="19">
        <f>IF(M284="","",M284*N284)</f>
        <v/>
      </c>
      <c r="Q284" s="8" t="n"/>
      <c r="R284" s="8" t="inlineStr">
        <is>
          <t>Jamais recu</t>
        </is>
      </c>
      <c r="S284" s="9" t="n"/>
    </row>
    <row r="285">
      <c r="A285" s="8" t="n">
        <v>279</v>
      </c>
      <c r="B285" s="8" t="inlineStr">
        <is>
          <t>Matières premières</t>
        </is>
      </c>
      <c r="C285" s="8" t="inlineStr">
        <is>
          <t>Ingrédients &gt; Levures &amp; agents</t>
        </is>
      </c>
      <c r="D285" s="8" t="inlineStr">
        <is>
          <t>Ibis</t>
        </is>
      </c>
      <c r="E285" s="8" t="inlineStr">
        <is>
          <t>Ibis</t>
        </is>
      </c>
      <c r="F285" s="8" t="inlineStr">
        <is>
          <t>kg</t>
        </is>
      </c>
      <c r="G285" s="8" t="inlineStr"/>
      <c r="H285" s="14" t="n"/>
      <c r="I285" s="14" t="n">
        <v>0</v>
      </c>
      <c r="J285" s="15" t="n"/>
      <c r="K285" s="16" t="n"/>
      <c r="L285" s="17">
        <f>IF(AND(J285="",K285=""),"",IF(H285="",K285,J285*H285+K285))</f>
        <v/>
      </c>
      <c r="M285" s="17">
        <f>IF(L285="","",L285-I285)</f>
        <v/>
      </c>
      <c r="N285" s="18" t="n">
        <v>25</v>
      </c>
      <c r="O285" s="19">
        <f>IF(L285="","",L285*N285)</f>
        <v/>
      </c>
      <c r="P285" s="19">
        <f>IF(M285="","",M285*N285)</f>
        <v/>
      </c>
      <c r="Q285" s="8" t="n"/>
      <c r="R285" s="8" t="inlineStr">
        <is>
          <t>En stock</t>
        </is>
      </c>
      <c r="S285" s="9" t="n"/>
    </row>
    <row r="286">
      <c r="A286" s="8" t="n">
        <v>280</v>
      </c>
      <c r="B286" s="8" t="inlineStr">
        <is>
          <t>Matières premières</t>
        </is>
      </c>
      <c r="C286" s="8" t="inlineStr">
        <is>
          <t>Ingrédients &gt; Levures &amp; agents</t>
        </is>
      </c>
      <c r="D286" s="8" t="inlineStr">
        <is>
          <t>Levure</t>
        </is>
      </c>
      <c r="E286" s="8" t="inlineStr"/>
      <c r="F286" s="8" t="inlineStr">
        <is>
          <t>kg</t>
        </is>
      </c>
      <c r="G286" s="8" t="inlineStr"/>
      <c r="H286" s="14" t="n"/>
      <c r="I286" s="14" t="n">
        <v>0</v>
      </c>
      <c r="J286" s="15" t="n"/>
      <c r="K286" s="30" t="n">
        <v>20</v>
      </c>
      <c r="L286" s="17">
        <f>IF(AND(J286="",K286=""),"",IF(H286="",K286,J286*H286+K286))</f>
        <v/>
      </c>
      <c r="M286" s="17">
        <f>IF(L286="","",L286-I286)</f>
        <v/>
      </c>
      <c r="N286" s="18" t="n">
        <v>14.2</v>
      </c>
      <c r="O286" s="19">
        <f>IF(L286="","",L286*N286)</f>
        <v/>
      </c>
      <c r="P286" s="19">
        <f>IF(M286="","",M286*N286)</f>
        <v/>
      </c>
      <c r="Q286" s="8" t="n"/>
      <c r="R286" s="8" t="inlineStr">
        <is>
          <t>En stock</t>
        </is>
      </c>
      <c r="S286" s="9" t="n"/>
    </row>
    <row r="287">
      <c r="A287" s="8" t="n">
        <v>281</v>
      </c>
      <c r="B287" s="8" t="inlineStr">
        <is>
          <t>Matières premières</t>
        </is>
      </c>
      <c r="C287" s="8" t="inlineStr">
        <is>
          <t>Ingrédients &gt; Levures &amp; agents</t>
        </is>
      </c>
      <c r="D287" s="8" t="inlineStr">
        <is>
          <t>Levure Chimique Idéal</t>
        </is>
      </c>
      <c r="E287" s="8" t="inlineStr"/>
      <c r="F287" s="8" t="inlineStr">
        <is>
          <t>unit</t>
        </is>
      </c>
      <c r="G287" s="8" t="inlineStr"/>
      <c r="H287" s="14" t="n"/>
      <c r="I287" s="14" t="n">
        <v>0</v>
      </c>
      <c r="J287" s="15" t="n"/>
      <c r="K287" s="16" t="n"/>
      <c r="L287" s="17">
        <f>IF(AND(J287="",K287=""),"",IF(H287="",K287,J287*H287+K287))</f>
        <v/>
      </c>
      <c r="M287" s="17">
        <f>IF(L287="","",L287-I287)</f>
        <v/>
      </c>
      <c r="N287" s="18" t="n">
        <v>75</v>
      </c>
      <c r="O287" s="19">
        <f>IF(L287="","",L287*N287)</f>
        <v/>
      </c>
      <c r="P287" s="19">
        <f>IF(M287="","",M287*N287)</f>
        <v/>
      </c>
      <c r="Q287" s="8" t="n"/>
      <c r="R287" s="8" t="inlineStr">
        <is>
          <t>Stock a 0</t>
        </is>
      </c>
      <c r="S287" s="9" t="n"/>
    </row>
    <row r="288">
      <c r="A288" s="8" t="n">
        <v>282</v>
      </c>
      <c r="B288" s="8" t="inlineStr">
        <is>
          <t>Matières premières</t>
        </is>
      </c>
      <c r="C288" s="8" t="inlineStr">
        <is>
          <t>Ingrédients &gt; Levures &amp; agents</t>
        </is>
      </c>
      <c r="D288" s="8" t="inlineStr">
        <is>
          <t>Levure Ideal</t>
        </is>
      </c>
      <c r="E288" s="8" t="inlineStr"/>
      <c r="F288" s="8" t="inlineStr">
        <is>
          <t>unit</t>
        </is>
      </c>
      <c r="G288" s="8" t="inlineStr"/>
      <c r="H288" s="14" t="n"/>
      <c r="I288" s="14" t="n">
        <v>0</v>
      </c>
      <c r="J288" s="15" t="n"/>
      <c r="K288" s="16" t="n"/>
      <c r="L288" s="17">
        <f>IF(AND(J288="",K288=""),"",IF(H288="",K288,J288*H288+K288))</f>
        <v/>
      </c>
      <c r="M288" s="17">
        <f>IF(L288="","",L288-I288)</f>
        <v/>
      </c>
      <c r="N288" s="18" t="n">
        <v>1</v>
      </c>
      <c r="O288" s="19">
        <f>IF(L288="","",L288*N288)</f>
        <v/>
      </c>
      <c r="P288" s="19">
        <f>IF(M288="","",M288*N288)</f>
        <v/>
      </c>
      <c r="Q288" s="8" t="n"/>
      <c r="R288" s="8" t="inlineStr">
        <is>
          <t>Jamais recu</t>
        </is>
      </c>
      <c r="S288" s="9" t="n"/>
    </row>
    <row r="289">
      <c r="A289" s="8" t="n">
        <v>283</v>
      </c>
      <c r="B289" s="8" t="inlineStr">
        <is>
          <t>Matières premières</t>
        </is>
      </c>
      <c r="C289" s="8" t="inlineStr">
        <is>
          <t>Ingrédients &gt; Levures &amp; agents</t>
        </is>
      </c>
      <c r="D289" s="8" t="inlineStr">
        <is>
          <t>Levure chimique</t>
        </is>
      </c>
      <c r="E289" s="8" t="inlineStr">
        <is>
          <t>Générique</t>
        </is>
      </c>
      <c r="F289" s="8" t="inlineStr">
        <is>
          <t>kg</t>
        </is>
      </c>
      <c r="G289" s="8" t="inlineStr"/>
      <c r="H289" s="14" t="n"/>
      <c r="I289" s="14" t="n">
        <v>0</v>
      </c>
      <c r="J289" s="15" t="n"/>
      <c r="K289" s="16" t="n"/>
      <c r="L289" s="17">
        <f>IF(AND(J289="",K289=""),"",IF(H289="",K289,J289*H289+K289))</f>
        <v/>
      </c>
      <c r="M289" s="17">
        <f>IF(L289="","",L289-I289)</f>
        <v/>
      </c>
      <c r="N289" s="18" t="n">
        <v>15</v>
      </c>
      <c r="O289" s="19">
        <f>IF(L289="","",L289*N289)</f>
        <v/>
      </c>
      <c r="P289" s="19">
        <f>IF(M289="","",M289*N289)</f>
        <v/>
      </c>
      <c r="Q289" s="8" t="n"/>
      <c r="R289" s="8" t="inlineStr">
        <is>
          <t>En stock</t>
        </is>
      </c>
      <c r="S289" s="9" t="n"/>
    </row>
    <row r="290">
      <c r="A290" s="8" t="n">
        <v>284</v>
      </c>
      <c r="B290" s="8" t="inlineStr">
        <is>
          <t>Matières premières</t>
        </is>
      </c>
      <c r="C290" s="8" t="inlineStr">
        <is>
          <t>Ingrédients &gt; Levures &amp; agents</t>
        </is>
      </c>
      <c r="D290" s="8" t="inlineStr">
        <is>
          <t>Levure fraîche</t>
        </is>
      </c>
      <c r="E290" s="8" t="inlineStr">
        <is>
          <t>Générique</t>
        </is>
      </c>
      <c r="F290" s="8" t="inlineStr">
        <is>
          <t>kg</t>
        </is>
      </c>
      <c r="G290" s="8" t="inlineStr"/>
      <c r="H290" s="14" t="n"/>
      <c r="I290" s="14" t="n">
        <v>0</v>
      </c>
      <c r="J290" s="15" t="n"/>
      <c r="K290" s="16" t="n"/>
      <c r="L290" s="17">
        <f>IF(AND(J290="",K290=""),"",IF(H290="",K290,J290*H290+K290))</f>
        <v/>
      </c>
      <c r="M290" s="17">
        <f>IF(L290="","",L290-I290)</f>
        <v/>
      </c>
      <c r="N290" s="18" t="n">
        <v>10</v>
      </c>
      <c r="O290" s="19">
        <f>IF(L290="","",L290*N290)</f>
        <v/>
      </c>
      <c r="P290" s="19">
        <f>IF(M290="","",M290*N290)</f>
        <v/>
      </c>
      <c r="Q290" s="8" t="n"/>
      <c r="R290" s="8" t="inlineStr">
        <is>
          <t>Jamais recu</t>
        </is>
      </c>
      <c r="S290" s="9" t="n"/>
    </row>
    <row r="291">
      <c r="A291" s="8" t="n">
        <v>285</v>
      </c>
      <c r="B291" s="8" t="inlineStr">
        <is>
          <t>Matières premières</t>
        </is>
      </c>
      <c r="C291" s="8" t="inlineStr">
        <is>
          <t>Ingrédients &gt; Levures &amp; agents</t>
        </is>
      </c>
      <c r="D291" s="8" t="inlineStr">
        <is>
          <t>Maizina</t>
        </is>
      </c>
      <c r="E291" s="8" t="inlineStr"/>
      <c r="F291" s="8" t="inlineStr">
        <is>
          <t>kg</t>
        </is>
      </c>
      <c r="G291" s="8" t="inlineStr"/>
      <c r="H291" s="14" t="n"/>
      <c r="I291" s="14" t="n">
        <v>0</v>
      </c>
      <c r="J291" s="15" t="n"/>
      <c r="K291" s="16" t="n"/>
      <c r="L291" s="17">
        <f>IF(AND(J291="",K291=""),"",IF(H291="",K291,J291*H291+K291))</f>
        <v/>
      </c>
      <c r="M291" s="17">
        <f>IF(L291="","",L291-I291)</f>
        <v/>
      </c>
      <c r="N291" s="18" t="n">
        <v>14.58</v>
      </c>
      <c r="O291" s="19">
        <f>IF(L291="","",L291*N291)</f>
        <v/>
      </c>
      <c r="P291" s="19">
        <f>IF(M291="","",M291*N291)</f>
        <v/>
      </c>
      <c r="Q291" s="8" t="n"/>
      <c r="R291" s="8" t="inlineStr">
        <is>
          <t>En stock</t>
        </is>
      </c>
      <c r="S291" s="9" t="n"/>
    </row>
    <row r="292">
      <c r="A292" s="8" t="n">
        <v>286</v>
      </c>
      <c r="B292" s="8" t="inlineStr">
        <is>
          <t>Matières premières</t>
        </is>
      </c>
      <c r="C292" s="8" t="inlineStr">
        <is>
          <t>Ingrédients &gt; Levures &amp; agents</t>
        </is>
      </c>
      <c r="D292" s="8" t="inlineStr">
        <is>
          <t>Maltorge</t>
        </is>
      </c>
      <c r="E292" s="8" t="inlineStr">
        <is>
          <t>Générique</t>
        </is>
      </c>
      <c r="F292" s="8" t="inlineStr">
        <is>
          <t>kg</t>
        </is>
      </c>
      <c r="G292" s="8" t="inlineStr"/>
      <c r="H292" s="14" t="n"/>
      <c r="I292" s="14" t="n">
        <v>0</v>
      </c>
      <c r="J292" s="15" t="n"/>
      <c r="K292" s="16" t="n"/>
      <c r="L292" s="17">
        <f>IF(AND(J292="",K292=""),"",IF(H292="",K292,J292*H292+K292))</f>
        <v/>
      </c>
      <c r="M292" s="17">
        <f>IF(L292="","",L292-I292)</f>
        <v/>
      </c>
      <c r="N292" s="18" t="n">
        <v>38</v>
      </c>
      <c r="O292" s="19">
        <f>IF(L292="","",L292*N292)</f>
        <v/>
      </c>
      <c r="P292" s="19">
        <f>IF(M292="","",M292*N292)</f>
        <v/>
      </c>
      <c r="Q292" s="8" t="n"/>
      <c r="R292" s="8" t="inlineStr">
        <is>
          <t>Jamais recu</t>
        </is>
      </c>
      <c r="S292" s="9" t="n"/>
    </row>
    <row r="293">
      <c r="A293" s="8" t="n">
        <v>287</v>
      </c>
      <c r="B293" s="8" t="inlineStr">
        <is>
          <t>Matières premières</t>
        </is>
      </c>
      <c r="C293" s="8" t="inlineStr">
        <is>
          <t>Ingrédients &gt; Levures &amp; agents</t>
        </is>
      </c>
      <c r="D293" s="8" t="inlineStr">
        <is>
          <t>O-tentic durum</t>
        </is>
      </c>
      <c r="E293" s="8" t="inlineStr"/>
      <c r="F293" s="8" t="inlineStr">
        <is>
          <t>kg</t>
        </is>
      </c>
      <c r="G293" s="8" t="inlineStr"/>
      <c r="H293" s="14" t="n"/>
      <c r="I293" s="14" t="n">
        <v>0</v>
      </c>
      <c r="J293" s="15" t="n"/>
      <c r="K293" s="16" t="n"/>
      <c r="L293" s="17">
        <f>IF(AND(J293="",K293=""),"",IF(H293="",K293,J293*H293+K293))</f>
        <v/>
      </c>
      <c r="M293" s="17">
        <f>IF(L293="","",L293-I293)</f>
        <v/>
      </c>
      <c r="N293" s="18" t="n">
        <v>103</v>
      </c>
      <c r="O293" s="19">
        <f>IF(L293="","",L293*N293)</f>
        <v/>
      </c>
      <c r="P293" s="19">
        <f>IF(M293="","",M293*N293)</f>
        <v/>
      </c>
      <c r="Q293" s="8" t="n"/>
      <c r="R293" s="8" t="inlineStr">
        <is>
          <t>En stock</t>
        </is>
      </c>
      <c r="S293" s="9" t="n"/>
    </row>
    <row r="294">
      <c r="A294" s="8" t="n">
        <v>288</v>
      </c>
      <c r="B294" s="8" t="inlineStr">
        <is>
          <t>Matières premières</t>
        </is>
      </c>
      <c r="C294" s="8" t="inlineStr">
        <is>
          <t>Ingrédients &gt; Levures &amp; agents</t>
        </is>
      </c>
      <c r="D294" s="8" t="inlineStr">
        <is>
          <t>Perfect Saveur Grand Chef</t>
        </is>
      </c>
      <c r="E294" s="8" t="inlineStr">
        <is>
          <t>Perfect</t>
        </is>
      </c>
      <c r="F294" s="8" t="inlineStr">
        <is>
          <t>kg</t>
        </is>
      </c>
      <c r="G294" s="8" t="inlineStr"/>
      <c r="H294" s="14" t="n"/>
      <c r="I294" s="14" t="n">
        <v>0</v>
      </c>
      <c r="J294" s="15" t="n"/>
      <c r="K294" s="16" t="n"/>
      <c r="L294" s="17">
        <f>IF(AND(J294="",K294=""),"",IF(H294="",K294,J294*H294+K294))</f>
        <v/>
      </c>
      <c r="M294" s="17">
        <f>IF(L294="","",L294-I294)</f>
        <v/>
      </c>
      <c r="N294" s="18" t="n">
        <v>35.676</v>
      </c>
      <c r="O294" s="19">
        <f>IF(L294="","",L294*N294)</f>
        <v/>
      </c>
      <c r="P294" s="19">
        <f>IF(M294="","",M294*N294)</f>
        <v/>
      </c>
      <c r="Q294" s="8" t="n"/>
      <c r="R294" s="8" t="inlineStr">
        <is>
          <t>Jamais recu</t>
        </is>
      </c>
      <c r="S294" s="9" t="n"/>
    </row>
    <row r="295">
      <c r="A295" s="8" t="n">
        <v>289</v>
      </c>
      <c r="B295" s="8" t="inlineStr">
        <is>
          <t>Matières premières</t>
        </is>
      </c>
      <c r="C295" s="8" t="inlineStr">
        <is>
          <t>Ingrédients &gt; Légumes</t>
        </is>
      </c>
      <c r="D295" s="8" t="inlineStr">
        <is>
          <t>Ail</t>
        </is>
      </c>
      <c r="E295" s="8" t="inlineStr"/>
      <c r="F295" s="8" t="inlineStr">
        <is>
          <t>g</t>
        </is>
      </c>
      <c r="G295" s="8" t="inlineStr"/>
      <c r="H295" s="14" t="n"/>
      <c r="I295" s="14" t="n">
        <v>0</v>
      </c>
      <c r="J295" s="15" t="n"/>
      <c r="K295" s="16" t="n"/>
      <c r="L295" s="17">
        <f>IF(AND(J295="",K295=""),"",IF(H295="",K295,J295*H295+K295))</f>
        <v/>
      </c>
      <c r="M295" s="17">
        <f>IF(L295="","",L295-I295)</f>
        <v/>
      </c>
      <c r="N295" s="18" t="n">
        <v>0.07000000000000001</v>
      </c>
      <c r="O295" s="19">
        <f>IF(L295="","",L295*N295)</f>
        <v/>
      </c>
      <c r="P295" s="19">
        <f>IF(M295="","",M295*N295)</f>
        <v/>
      </c>
      <c r="Q295" s="8" t="n"/>
      <c r="R295" s="8" t="inlineStr">
        <is>
          <t>En stock</t>
        </is>
      </c>
      <c r="S295" s="9" t="n"/>
    </row>
    <row r="296">
      <c r="A296" s="8" t="n">
        <v>290</v>
      </c>
      <c r="B296" s="8" t="inlineStr">
        <is>
          <t>Matières premières</t>
        </is>
      </c>
      <c r="C296" s="8" t="inlineStr">
        <is>
          <t>Ingrédients &gt; Légumes</t>
        </is>
      </c>
      <c r="D296" s="8" t="inlineStr">
        <is>
          <t>Basilic</t>
        </is>
      </c>
      <c r="E296" s="8" t="inlineStr"/>
      <c r="F296" s="8" t="inlineStr">
        <is>
          <t>unit</t>
        </is>
      </c>
      <c r="G296" s="8" t="inlineStr"/>
      <c r="H296" s="14" t="n"/>
      <c r="I296" s="14" t="n">
        <v>0</v>
      </c>
      <c r="J296" s="15" t="n"/>
      <c r="K296" s="16" t="n"/>
      <c r="L296" s="17">
        <f>IF(AND(J296="",K296=""),"",IF(H296="",K296,J296*H296+K296))</f>
        <v/>
      </c>
      <c r="M296" s="17">
        <f>IF(L296="","",L296-I296)</f>
        <v/>
      </c>
      <c r="N296" s="18" t="n">
        <v>7</v>
      </c>
      <c r="O296" s="19">
        <f>IF(L296="","",L296*N296)</f>
        <v/>
      </c>
      <c r="P296" s="19">
        <f>IF(M296="","",M296*N296)</f>
        <v/>
      </c>
      <c r="Q296" s="8" t="n"/>
      <c r="R296" s="8" t="inlineStr">
        <is>
          <t>Stock a 0</t>
        </is>
      </c>
      <c r="S296" s="9" t="n"/>
    </row>
    <row r="297">
      <c r="A297" s="8" t="n">
        <v>291</v>
      </c>
      <c r="B297" s="8" t="inlineStr">
        <is>
          <t>Matières premières</t>
        </is>
      </c>
      <c r="C297" s="8" t="inlineStr">
        <is>
          <t>Ingrédients &gt; Légumes</t>
        </is>
      </c>
      <c r="D297" s="8" t="inlineStr">
        <is>
          <t>Basilic</t>
        </is>
      </c>
      <c r="E297" s="8" t="inlineStr"/>
      <c r="F297" s="8" t="inlineStr">
        <is>
          <t>unit</t>
        </is>
      </c>
      <c r="G297" s="8" t="inlineStr"/>
      <c r="H297" s="14" t="n"/>
      <c r="I297" s="14" t="n">
        <v>0</v>
      </c>
      <c r="J297" s="15" t="n"/>
      <c r="K297" s="16" t="n"/>
      <c r="L297" s="17">
        <f>IF(AND(J297="",K297=""),"",IF(H297="",K297,J297*H297+K297))</f>
        <v/>
      </c>
      <c r="M297" s="17">
        <f>IF(L297="","",L297-I297)</f>
        <v/>
      </c>
      <c r="N297" s="18" t="n">
        <v>7</v>
      </c>
      <c r="O297" s="19">
        <f>IF(L297="","",L297*N297)</f>
        <v/>
      </c>
      <c r="P297" s="19">
        <f>IF(M297="","",M297*N297)</f>
        <v/>
      </c>
      <c r="Q297" s="8" t="n"/>
      <c r="R297" s="8" t="inlineStr">
        <is>
          <t>Stock a 0</t>
        </is>
      </c>
      <c r="S297" s="9" t="n"/>
    </row>
    <row r="298">
      <c r="A298" s="8" t="n">
        <v>292</v>
      </c>
      <c r="B298" s="8" t="inlineStr">
        <is>
          <t>Matières premières</t>
        </is>
      </c>
      <c r="C298" s="8" t="inlineStr">
        <is>
          <t>Ingrédients &gt; Légumes</t>
        </is>
      </c>
      <c r="D298" s="8" t="inlineStr">
        <is>
          <t>Carotte</t>
        </is>
      </c>
      <c r="E298" s="8" t="inlineStr">
        <is>
          <t>Marché local</t>
        </is>
      </c>
      <c r="F298" s="8" t="inlineStr">
        <is>
          <t>kg</t>
        </is>
      </c>
      <c r="G298" s="8" t="inlineStr"/>
      <c r="H298" s="14" t="n"/>
      <c r="I298" s="14" t="n">
        <v>0</v>
      </c>
      <c r="J298" s="15" t="n"/>
      <c r="K298" s="16" t="n"/>
      <c r="L298" s="17">
        <f>IF(AND(J298="",K298=""),"",IF(H298="",K298,J298*H298+K298))</f>
        <v/>
      </c>
      <c r="M298" s="17">
        <f>IF(L298="","",L298-I298)</f>
        <v/>
      </c>
      <c r="N298" s="18" t="n">
        <v>9.5</v>
      </c>
      <c r="O298" s="19">
        <f>IF(L298="","",L298*N298)</f>
        <v/>
      </c>
      <c r="P298" s="19">
        <f>IF(M298="","",M298*N298)</f>
        <v/>
      </c>
      <c r="Q298" s="8" t="n"/>
      <c r="R298" s="8" t="inlineStr">
        <is>
          <t>Jamais recu</t>
        </is>
      </c>
      <c r="S298" s="9" t="n"/>
    </row>
    <row r="299">
      <c r="A299" s="8" t="n">
        <v>293</v>
      </c>
      <c r="B299" s="8" t="inlineStr">
        <is>
          <t>Matières premières</t>
        </is>
      </c>
      <c r="C299" s="8" t="inlineStr">
        <is>
          <t>Ingrédients &gt; Légumes</t>
        </is>
      </c>
      <c r="D299" s="8" t="inlineStr">
        <is>
          <t>Citron confit</t>
        </is>
      </c>
      <c r="E299" s="8" t="inlineStr"/>
      <c r="F299" s="8" t="inlineStr">
        <is>
          <t>kg</t>
        </is>
      </c>
      <c r="G299" s="8" t="inlineStr"/>
      <c r="H299" s="14" t="n"/>
      <c r="I299" s="14" t="n">
        <v>0</v>
      </c>
      <c r="J299" s="15" t="n"/>
      <c r="K299" s="16" t="n"/>
      <c r="L299" s="17">
        <f>IF(AND(J299="",K299=""),"",IF(H299="",K299,J299*H299+K299))</f>
        <v/>
      </c>
      <c r="M299" s="17">
        <f>IF(L299="","",L299-I299)</f>
        <v/>
      </c>
      <c r="N299" s="18" t="n">
        <v>18</v>
      </c>
      <c r="O299" s="19">
        <f>IF(L299="","",L299*N299)</f>
        <v/>
      </c>
      <c r="P299" s="19">
        <f>IF(M299="","",M299*N299)</f>
        <v/>
      </c>
      <c r="Q299" s="8" t="n"/>
      <c r="R299" s="8" t="inlineStr">
        <is>
          <t>En stock</t>
        </is>
      </c>
      <c r="S299" s="9" t="n"/>
    </row>
    <row r="300">
      <c r="A300" s="8" t="n">
        <v>294</v>
      </c>
      <c r="B300" s="8" t="inlineStr">
        <is>
          <t>Matières premières</t>
        </is>
      </c>
      <c r="C300" s="8" t="inlineStr">
        <is>
          <t>Ingrédients &gt; Légumes</t>
        </is>
      </c>
      <c r="D300" s="8" t="inlineStr">
        <is>
          <t>Citron confit</t>
        </is>
      </c>
      <c r="E300" s="8" t="inlineStr"/>
      <c r="F300" s="8" t="inlineStr">
        <is>
          <t>unit</t>
        </is>
      </c>
      <c r="G300" s="8" t="inlineStr"/>
      <c r="H300" s="14" t="n"/>
      <c r="I300" s="14" t="n">
        <v>0</v>
      </c>
      <c r="J300" s="15" t="n"/>
      <c r="K300" s="16" t="n"/>
      <c r="L300" s="17">
        <f>IF(AND(J300="",K300=""),"",IF(H300="",K300,J300*H300+K300))</f>
        <v/>
      </c>
      <c r="M300" s="17">
        <f>IF(L300="","",L300-I300)</f>
        <v/>
      </c>
      <c r="N300" s="18" t="n">
        <v>1</v>
      </c>
      <c r="O300" s="19">
        <f>IF(L300="","",L300*N300)</f>
        <v/>
      </c>
      <c r="P300" s="19">
        <f>IF(M300="","",M300*N300)</f>
        <v/>
      </c>
      <c r="Q300" s="8" t="n"/>
      <c r="R300" s="8" t="inlineStr">
        <is>
          <t>Stock a 0</t>
        </is>
      </c>
      <c r="S300" s="9" t="n"/>
    </row>
    <row r="301">
      <c r="A301" s="8" t="n">
        <v>295</v>
      </c>
      <c r="B301" s="8" t="inlineStr">
        <is>
          <t>Matières premières</t>
        </is>
      </c>
      <c r="C301" s="8" t="inlineStr">
        <is>
          <t>Ingrédients &gt; Légumes</t>
        </is>
      </c>
      <c r="D301" s="8" t="inlineStr">
        <is>
          <t>Citron fraiche</t>
        </is>
      </c>
      <c r="E301" s="8" t="inlineStr"/>
      <c r="F301" s="8" t="inlineStr">
        <is>
          <t>kg</t>
        </is>
      </c>
      <c r="G301" s="8" t="inlineStr"/>
      <c r="H301" s="14" t="n"/>
      <c r="I301" s="14" t="n">
        <v>0</v>
      </c>
      <c r="J301" s="15" t="n"/>
      <c r="K301" s="16" t="n"/>
      <c r="L301" s="17">
        <f>IF(AND(J301="",K301=""),"",IF(H301="",K301,J301*H301+K301))</f>
        <v/>
      </c>
      <c r="M301" s="17">
        <f>IF(L301="","",L301-I301)</f>
        <v/>
      </c>
      <c r="N301" s="18" t="n">
        <v>20</v>
      </c>
      <c r="O301" s="19">
        <f>IF(L301="","",L301*N301)</f>
        <v/>
      </c>
      <c r="P301" s="19">
        <f>IF(M301="","",M301*N301)</f>
        <v/>
      </c>
      <c r="Q301" s="8" t="n"/>
      <c r="R301" s="8" t="inlineStr">
        <is>
          <t>Stock a 0</t>
        </is>
      </c>
      <c r="S301" s="9" t="n"/>
    </row>
    <row r="302">
      <c r="A302" s="8" t="n">
        <v>296</v>
      </c>
      <c r="B302" s="8" t="inlineStr">
        <is>
          <t>Matières premières</t>
        </is>
      </c>
      <c r="C302" s="8" t="inlineStr">
        <is>
          <t>Ingrédients &gt; Légumes</t>
        </is>
      </c>
      <c r="D302" s="8" t="inlineStr">
        <is>
          <t>Coriandre fraiche</t>
        </is>
      </c>
      <c r="E302" s="8" t="inlineStr"/>
      <c r="F302" s="8" t="inlineStr">
        <is>
          <t>unit</t>
        </is>
      </c>
      <c r="G302" s="8" t="inlineStr"/>
      <c r="H302" s="14" t="n"/>
      <c r="I302" s="14" t="n">
        <v>0</v>
      </c>
      <c r="J302" s="15" t="n"/>
      <c r="K302" s="16" t="n"/>
      <c r="L302" s="17">
        <f>IF(AND(J302="",K302=""),"",IF(H302="",K302,J302*H302+K302))</f>
        <v/>
      </c>
      <c r="M302" s="17">
        <f>IF(L302="","",L302-I302)</f>
        <v/>
      </c>
      <c r="N302" s="18" t="n">
        <v>10</v>
      </c>
      <c r="O302" s="19">
        <f>IF(L302="","",L302*N302)</f>
        <v/>
      </c>
      <c r="P302" s="19">
        <f>IF(M302="","",M302*N302)</f>
        <v/>
      </c>
      <c r="Q302" s="8" t="n"/>
      <c r="R302" s="8" t="inlineStr">
        <is>
          <t>En stock</t>
        </is>
      </c>
      <c r="S302" s="9" t="n"/>
    </row>
    <row r="303">
      <c r="A303" s="8" t="n">
        <v>297</v>
      </c>
      <c r="B303" s="8" t="inlineStr">
        <is>
          <t>Matières premières</t>
        </is>
      </c>
      <c r="C303" s="8" t="inlineStr">
        <is>
          <t>Ingrédients &gt; Légumes</t>
        </is>
      </c>
      <c r="D303" s="8" t="inlineStr">
        <is>
          <t>Herbe</t>
        </is>
      </c>
      <c r="E303" s="8" t="inlineStr"/>
      <c r="F303" s="8" t="inlineStr">
        <is>
          <t>unit</t>
        </is>
      </c>
      <c r="G303" s="8" t="inlineStr"/>
      <c r="H303" s="14" t="n"/>
      <c r="I303" s="14" t="n">
        <v>0</v>
      </c>
      <c r="J303" s="15" t="n"/>
      <c r="K303" s="16" t="n"/>
      <c r="L303" s="17">
        <f>IF(AND(J303="",K303=""),"",IF(H303="",K303,J303*H303+K303))</f>
        <v/>
      </c>
      <c r="M303" s="17">
        <f>IF(L303="","",L303-I303)</f>
        <v/>
      </c>
      <c r="N303" s="18" t="n">
        <v>0</v>
      </c>
      <c r="O303" s="19">
        <f>IF(L303="","",L303*N303)</f>
        <v/>
      </c>
      <c r="P303" s="19">
        <f>IF(M303="","",M303*N303)</f>
        <v/>
      </c>
      <c r="Q303" s="8" t="n"/>
      <c r="R303" s="8" t="inlineStr">
        <is>
          <t>Jamais recu</t>
        </is>
      </c>
      <c r="S303" s="9" t="n"/>
    </row>
    <row r="304">
      <c r="A304" s="8" t="n">
        <v>298</v>
      </c>
      <c r="B304" s="8" t="inlineStr">
        <is>
          <t>Matières premières</t>
        </is>
      </c>
      <c r="C304" s="8" t="inlineStr">
        <is>
          <t>Ingrédients &gt; Légumes</t>
        </is>
      </c>
      <c r="D304" s="8" t="inlineStr">
        <is>
          <t>Laitue (pièce)</t>
        </is>
      </c>
      <c r="E304" s="8" t="inlineStr">
        <is>
          <t>Marché local</t>
        </is>
      </c>
      <c r="F304" s="8" t="inlineStr">
        <is>
          <t>unit</t>
        </is>
      </c>
      <c r="G304" s="8" t="inlineStr"/>
      <c r="H304" s="14" t="n"/>
      <c r="I304" s="14" t="n">
        <v>0</v>
      </c>
      <c r="J304" s="15" t="n"/>
      <c r="K304" s="16" t="n"/>
      <c r="L304" s="17">
        <f>IF(AND(J304="",K304=""),"",IF(H304="",K304,J304*H304+K304))</f>
        <v/>
      </c>
      <c r="M304" s="17">
        <f>IF(L304="","",L304-I304)</f>
        <v/>
      </c>
      <c r="N304" s="18" t="n">
        <v>3</v>
      </c>
      <c r="O304" s="19">
        <f>IF(L304="","",L304*N304)</f>
        <v/>
      </c>
      <c r="P304" s="19">
        <f>IF(M304="","",M304*N304)</f>
        <v/>
      </c>
      <c r="Q304" s="8" t="n"/>
      <c r="R304" s="8" t="inlineStr">
        <is>
          <t>Jamais recu</t>
        </is>
      </c>
      <c r="S304" s="9" t="n"/>
    </row>
    <row r="305">
      <c r="A305" s="8" t="n">
        <v>299</v>
      </c>
      <c r="B305" s="8" t="inlineStr">
        <is>
          <t>Matières premières</t>
        </is>
      </c>
      <c r="C305" s="8" t="inlineStr">
        <is>
          <t>Ingrédients &gt; Légumes</t>
        </is>
      </c>
      <c r="D305" s="8" t="inlineStr">
        <is>
          <t>Ognion</t>
        </is>
      </c>
      <c r="E305" s="8" t="inlineStr"/>
      <c r="F305" s="8" t="inlineStr">
        <is>
          <t>kg</t>
        </is>
      </c>
      <c r="G305" s="8" t="inlineStr"/>
      <c r="H305" s="14" t="n"/>
      <c r="I305" s="14" t="n">
        <v>0</v>
      </c>
      <c r="J305" s="15" t="n"/>
      <c r="K305" s="16" t="n"/>
      <c r="L305" s="17">
        <f>IF(AND(J305="",K305=""),"",IF(H305="",K305,J305*H305+K305))</f>
        <v/>
      </c>
      <c r="M305" s="17">
        <f>IF(L305="","",L305-I305)</f>
        <v/>
      </c>
      <c r="N305" s="18" t="n">
        <v>0</v>
      </c>
      <c r="O305" s="19">
        <f>IF(L305="","",L305*N305)</f>
        <v/>
      </c>
      <c r="P305" s="19">
        <f>IF(M305="","",M305*N305)</f>
        <v/>
      </c>
      <c r="Q305" s="8" t="n"/>
      <c r="R305" s="8" t="inlineStr">
        <is>
          <t>Jamais recu</t>
        </is>
      </c>
      <c r="S305" s="9" t="n"/>
    </row>
    <row r="306">
      <c r="A306" s="8" t="n">
        <v>300</v>
      </c>
      <c r="B306" s="8" t="inlineStr">
        <is>
          <t>Matières premières</t>
        </is>
      </c>
      <c r="C306" s="8" t="inlineStr">
        <is>
          <t>Ingrédients &gt; Légumes</t>
        </is>
      </c>
      <c r="D306" s="8" t="inlineStr">
        <is>
          <t>Oignon</t>
        </is>
      </c>
      <c r="E306" s="8" t="inlineStr">
        <is>
          <t>Marché local</t>
        </is>
      </c>
      <c r="F306" s="8" t="inlineStr">
        <is>
          <t>kg</t>
        </is>
      </c>
      <c r="G306" s="8" t="inlineStr"/>
      <c r="H306" s="14" t="n"/>
      <c r="I306" s="14" t="n">
        <v>0</v>
      </c>
      <c r="J306" s="15" t="n"/>
      <c r="K306" s="16" t="n"/>
      <c r="L306" s="17">
        <f>IF(AND(J306="",K306=""),"",IF(H306="",K306,J306*H306+K306))</f>
        <v/>
      </c>
      <c r="M306" s="17">
        <f>IF(L306="","",L306-I306)</f>
        <v/>
      </c>
      <c r="N306" s="18" t="n">
        <v>5</v>
      </c>
      <c r="O306" s="19">
        <f>IF(L306="","",L306*N306)</f>
        <v/>
      </c>
      <c r="P306" s="19">
        <f>IF(M306="","",M306*N306)</f>
        <v/>
      </c>
      <c r="Q306" s="8" t="n"/>
      <c r="R306" s="8" t="inlineStr">
        <is>
          <t>En stock</t>
        </is>
      </c>
      <c r="S306" s="9" t="n"/>
    </row>
    <row r="307">
      <c r="A307" s="8" t="n">
        <v>301</v>
      </c>
      <c r="B307" s="8" t="inlineStr">
        <is>
          <t>Matières premières</t>
        </is>
      </c>
      <c r="C307" s="8" t="inlineStr">
        <is>
          <t>Ingrédients &gt; Légumes</t>
        </is>
      </c>
      <c r="D307" s="8" t="inlineStr">
        <is>
          <t>Poireau</t>
        </is>
      </c>
      <c r="E307" s="8" t="inlineStr">
        <is>
          <t>Abdelillah</t>
        </is>
      </c>
      <c r="F307" s="8" t="inlineStr">
        <is>
          <t>kg</t>
        </is>
      </c>
      <c r="G307" s="8" t="inlineStr"/>
      <c r="H307" s="14" t="n"/>
      <c r="I307" s="14" t="n">
        <v>0</v>
      </c>
      <c r="J307" s="15" t="n"/>
      <c r="K307" s="16" t="n"/>
      <c r="L307" s="17">
        <f>IF(AND(J307="",K307=""),"",IF(H307="",K307,J307*H307+K307))</f>
        <v/>
      </c>
      <c r="M307" s="17">
        <f>IF(L307="","",L307-I307)</f>
        <v/>
      </c>
      <c r="N307" s="18" t="n">
        <v>20</v>
      </c>
      <c r="O307" s="19">
        <f>IF(L307="","",L307*N307)</f>
        <v/>
      </c>
      <c r="P307" s="19">
        <f>IF(M307="","",M307*N307)</f>
        <v/>
      </c>
      <c r="Q307" s="8" t="n"/>
      <c r="R307" s="8" t="inlineStr">
        <is>
          <t>En stock</t>
        </is>
      </c>
      <c r="S307" s="9" t="n"/>
    </row>
    <row r="308">
      <c r="A308" s="8" t="n">
        <v>302</v>
      </c>
      <c r="B308" s="8" t="inlineStr">
        <is>
          <t>Matières premières</t>
        </is>
      </c>
      <c r="C308" s="8" t="inlineStr">
        <is>
          <t>Ingrédients &gt; Légumes</t>
        </is>
      </c>
      <c r="D308" s="8" t="inlineStr">
        <is>
          <t>Poivron jaune/rouge</t>
        </is>
      </c>
      <c r="E308" s="8" t="inlineStr">
        <is>
          <t>Marché local</t>
        </is>
      </c>
      <c r="F308" s="8" t="inlineStr">
        <is>
          <t>kg</t>
        </is>
      </c>
      <c r="G308" s="8" t="inlineStr"/>
      <c r="H308" s="14" t="n"/>
      <c r="I308" s="14" t="n">
        <v>0</v>
      </c>
      <c r="J308" s="15" t="n"/>
      <c r="K308" s="16" t="n"/>
      <c r="L308" s="17">
        <f>IF(AND(J308="",K308=""),"",IF(H308="",K308,J308*H308+K308))</f>
        <v/>
      </c>
      <c r="M308" s="17">
        <f>IF(L308="","",L308-I308)</f>
        <v/>
      </c>
      <c r="N308" s="18" t="n">
        <v>15</v>
      </c>
      <c r="O308" s="19">
        <f>IF(L308="","",L308*N308)</f>
        <v/>
      </c>
      <c r="P308" s="19">
        <f>IF(M308="","",M308*N308)</f>
        <v/>
      </c>
      <c r="Q308" s="8" t="n"/>
      <c r="R308" s="8" t="inlineStr">
        <is>
          <t>Stock a 0</t>
        </is>
      </c>
      <c r="S308" s="9" t="n"/>
    </row>
    <row r="309">
      <c r="A309" s="8" t="n">
        <v>303</v>
      </c>
      <c r="B309" s="8" t="inlineStr">
        <is>
          <t>Matières premières</t>
        </is>
      </c>
      <c r="C309" s="8" t="inlineStr">
        <is>
          <t>Ingrédients &gt; Légumes</t>
        </is>
      </c>
      <c r="D309" s="8" t="inlineStr">
        <is>
          <t>Poivrons</t>
        </is>
      </c>
      <c r="E309" s="8" t="inlineStr"/>
      <c r="F309" s="8" t="inlineStr">
        <is>
          <t>kg</t>
        </is>
      </c>
      <c r="G309" s="8" t="inlineStr"/>
      <c r="H309" s="14" t="n"/>
      <c r="I309" s="14" t="n">
        <v>0</v>
      </c>
      <c r="J309" s="15" t="n"/>
      <c r="K309" s="16" t="n"/>
      <c r="L309" s="17">
        <f>IF(AND(J309="",K309=""),"",IF(H309="",K309,J309*H309+K309))</f>
        <v/>
      </c>
      <c r="M309" s="17">
        <f>IF(L309="","",L309-I309)</f>
        <v/>
      </c>
      <c r="N309" s="18" t="n">
        <v>13.333</v>
      </c>
      <c r="O309" s="19">
        <f>IF(L309="","",L309*N309)</f>
        <v/>
      </c>
      <c r="P309" s="19">
        <f>IF(M309="","",M309*N309)</f>
        <v/>
      </c>
      <c r="Q309" s="8" t="n"/>
      <c r="R309" s="8" t="inlineStr">
        <is>
          <t>En stock</t>
        </is>
      </c>
      <c r="S309" s="9" t="n"/>
    </row>
    <row r="310">
      <c r="A310" s="8" t="n">
        <v>304</v>
      </c>
      <c r="B310" s="8" t="inlineStr">
        <is>
          <t>Matières premières</t>
        </is>
      </c>
      <c r="C310" s="8" t="inlineStr">
        <is>
          <t>Ingrédients &gt; Légumes</t>
        </is>
      </c>
      <c r="D310" s="8" t="inlineStr">
        <is>
          <t>Tomate</t>
        </is>
      </c>
      <c r="E310" s="8" t="inlineStr">
        <is>
          <t>Marché local</t>
        </is>
      </c>
      <c r="F310" s="8" t="inlineStr">
        <is>
          <t>kg</t>
        </is>
      </c>
      <c r="G310" s="8" t="inlineStr"/>
      <c r="H310" s="14" t="n"/>
      <c r="I310" s="14" t="n">
        <v>0</v>
      </c>
      <c r="J310" s="15" t="n"/>
      <c r="K310" s="16" t="n"/>
      <c r="L310" s="17">
        <f>IF(AND(J310="",K310=""),"",IF(H310="",K310,J310*H310+K310))</f>
        <v/>
      </c>
      <c r="M310" s="17">
        <f>IF(L310="","",L310-I310)</f>
        <v/>
      </c>
      <c r="N310" s="18" t="n">
        <v>7</v>
      </c>
      <c r="O310" s="19">
        <f>IF(L310="","",L310*N310)</f>
        <v/>
      </c>
      <c r="P310" s="19">
        <f>IF(M310="","",M310*N310)</f>
        <v/>
      </c>
      <c r="Q310" s="8" t="n"/>
      <c r="R310" s="8" t="inlineStr">
        <is>
          <t>Jamais recu</t>
        </is>
      </c>
      <c r="S310" s="9" t="n"/>
    </row>
    <row r="311">
      <c r="A311" s="8" t="n">
        <v>305</v>
      </c>
      <c r="B311" s="8" t="inlineStr">
        <is>
          <t>Matières premières</t>
        </is>
      </c>
      <c r="C311" s="8" t="inlineStr">
        <is>
          <t>Ingrédients &gt; Légumes</t>
        </is>
      </c>
      <c r="D311" s="8" t="inlineStr">
        <is>
          <t>Tomate cerise</t>
        </is>
      </c>
      <c r="E311" s="8" t="inlineStr">
        <is>
          <t>Marché local</t>
        </is>
      </c>
      <c r="F311" s="8" t="inlineStr">
        <is>
          <t>kg</t>
        </is>
      </c>
      <c r="G311" s="8" t="inlineStr"/>
      <c r="H311" s="14" t="n"/>
      <c r="I311" s="14" t="n">
        <v>0</v>
      </c>
      <c r="J311" s="15" t="n"/>
      <c r="K311" s="16" t="n"/>
      <c r="L311" s="17">
        <f>IF(AND(J311="",K311=""),"",IF(H311="",K311,J311*H311+K311))</f>
        <v/>
      </c>
      <c r="M311" s="17">
        <f>IF(L311="","",L311-I311)</f>
        <v/>
      </c>
      <c r="N311" s="18" t="n">
        <v>6</v>
      </c>
      <c r="O311" s="19">
        <f>IF(L311="","",L311*N311)</f>
        <v/>
      </c>
      <c r="P311" s="19">
        <f>IF(M311="","",M311*N311)</f>
        <v/>
      </c>
      <c r="Q311" s="8" t="n"/>
      <c r="R311" s="8" t="inlineStr">
        <is>
          <t>En stock</t>
        </is>
      </c>
      <c r="S311" s="9" t="n"/>
    </row>
    <row r="312">
      <c r="A312" s="8" t="n">
        <v>306</v>
      </c>
      <c r="B312" s="8" t="inlineStr">
        <is>
          <t>Matières premières</t>
        </is>
      </c>
      <c r="C312" s="8" t="inlineStr">
        <is>
          <t>Ingrédients &gt; Matières grasses &amp; Huiles</t>
        </is>
      </c>
      <c r="D312" s="8" t="inlineStr">
        <is>
          <t>Beurre</t>
        </is>
      </c>
      <c r="E312" s="8" t="inlineStr">
        <is>
          <t>Générique</t>
        </is>
      </c>
      <c r="F312" s="8" t="inlineStr">
        <is>
          <t>kg</t>
        </is>
      </c>
      <c r="G312" s="8" t="inlineStr"/>
      <c r="H312" s="14" t="n"/>
      <c r="I312" s="14" t="n">
        <v>0</v>
      </c>
      <c r="J312" s="15" t="n"/>
      <c r="K312" s="16" t="n"/>
      <c r="L312" s="17">
        <f>IF(AND(J312="",K312=""),"",IF(H312="",K312,J312*H312+K312))</f>
        <v/>
      </c>
      <c r="M312" s="17">
        <f>IF(L312="","",L312-I312)</f>
        <v/>
      </c>
      <c r="N312" s="18" t="n">
        <v>57</v>
      </c>
      <c r="O312" s="19">
        <f>IF(L312="","",L312*N312)</f>
        <v/>
      </c>
      <c r="P312" s="19">
        <f>IF(M312="","",M312*N312)</f>
        <v/>
      </c>
      <c r="Q312" s="8" t="n"/>
      <c r="R312" s="8" t="inlineStr">
        <is>
          <t>En stock</t>
        </is>
      </c>
      <c r="S312" s="9" t="n"/>
    </row>
    <row r="313">
      <c r="A313" s="8" t="n">
        <v>307</v>
      </c>
      <c r="B313" s="8" t="inlineStr">
        <is>
          <t>Matières premières</t>
        </is>
      </c>
      <c r="C313" s="8" t="inlineStr">
        <is>
          <t>Ingrédients &gt; Matières grasses &amp; Huiles</t>
        </is>
      </c>
      <c r="D313" s="8" t="inlineStr">
        <is>
          <t>Hille</t>
        </is>
      </c>
      <c r="E313" s="8" t="inlineStr"/>
      <c r="F313" s="8" t="inlineStr">
        <is>
          <t>l</t>
        </is>
      </c>
      <c r="G313" s="8" t="inlineStr"/>
      <c r="H313" s="14" t="n"/>
      <c r="I313" s="14" t="n">
        <v>0</v>
      </c>
      <c r="J313" s="15" t="n"/>
      <c r="K313" s="16" t="n"/>
      <c r="L313" s="17">
        <f>IF(AND(J313="",K313=""),"",IF(H313="",K313,J313*H313+K313))</f>
        <v/>
      </c>
      <c r="M313" s="17">
        <f>IF(L313="","",L313-I313)</f>
        <v/>
      </c>
      <c r="N313" s="18" t="n">
        <v>16.8</v>
      </c>
      <c r="O313" s="19">
        <f>IF(L313="","",L313*N313)</f>
        <v/>
      </c>
      <c r="P313" s="19">
        <f>IF(M313="","",M313*N313)</f>
        <v/>
      </c>
      <c r="Q313" s="8" t="n"/>
      <c r="R313" s="8" t="inlineStr">
        <is>
          <t>En stock</t>
        </is>
      </c>
      <c r="S313" s="9" t="n"/>
    </row>
    <row r="314">
      <c r="A314" s="8" t="n">
        <v>308</v>
      </c>
      <c r="B314" s="8" t="inlineStr">
        <is>
          <t>Matières premières</t>
        </is>
      </c>
      <c r="C314" s="8" t="inlineStr">
        <is>
          <t>Ingrédients &gt; Matières grasses &amp; Huiles</t>
        </is>
      </c>
      <c r="D314" s="8" t="inlineStr">
        <is>
          <t>Huile d'olive</t>
        </is>
      </c>
      <c r="E314" s="8" t="inlineStr">
        <is>
          <t>Générique</t>
        </is>
      </c>
      <c r="F314" s="8" t="inlineStr">
        <is>
          <t>l</t>
        </is>
      </c>
      <c r="G314" s="8" t="inlineStr"/>
      <c r="H314" s="14" t="n"/>
      <c r="I314" s="14" t="n">
        <v>0</v>
      </c>
      <c r="J314" s="15" t="n"/>
      <c r="K314" s="16" t="n"/>
      <c r="L314" s="17">
        <f>IF(AND(J314="",K314=""),"",IF(H314="",K314,J314*H314+K314))</f>
        <v/>
      </c>
      <c r="M314" s="17">
        <f>IF(L314="","",L314-I314)</f>
        <v/>
      </c>
      <c r="N314" s="18" t="n">
        <v>50</v>
      </c>
      <c r="O314" s="19">
        <f>IF(L314="","",L314*N314)</f>
        <v/>
      </c>
      <c r="P314" s="19">
        <f>IF(M314="","",M314*N314)</f>
        <v/>
      </c>
      <c r="Q314" s="8" t="n"/>
      <c r="R314" s="8" t="inlineStr">
        <is>
          <t>Stock a 0</t>
        </is>
      </c>
      <c r="S314" s="9" t="n"/>
    </row>
    <row r="315">
      <c r="A315" s="8" t="n">
        <v>309</v>
      </c>
      <c r="B315" s="8" t="inlineStr">
        <is>
          <t>Matières premières</t>
        </is>
      </c>
      <c r="C315" s="8" t="inlineStr">
        <is>
          <t>Ingrédients &gt; Matières grasses &amp; Huiles</t>
        </is>
      </c>
      <c r="D315" s="8" t="inlineStr">
        <is>
          <t>Huile de table</t>
        </is>
      </c>
      <c r="E315" s="8" t="inlineStr">
        <is>
          <t>Générique</t>
        </is>
      </c>
      <c r="F315" s="8" t="inlineStr">
        <is>
          <t>l</t>
        </is>
      </c>
      <c r="G315" s="8" t="inlineStr"/>
      <c r="H315" s="14" t="n"/>
      <c r="I315" s="14" t="n">
        <v>0</v>
      </c>
      <c r="J315" s="15" t="n"/>
      <c r="K315" s="16" t="n"/>
      <c r="L315" s="17">
        <f>IF(AND(J315="",K315=""),"",IF(H315="",K315,J315*H315+K315))</f>
        <v/>
      </c>
      <c r="M315" s="17">
        <f>IF(L315="","",L315-I315)</f>
        <v/>
      </c>
      <c r="N315" s="18" t="n">
        <v>17</v>
      </c>
      <c r="O315" s="19">
        <f>IF(L315="","",L315*N315)</f>
        <v/>
      </c>
      <c r="P315" s="19">
        <f>IF(M315="","",M315*N315)</f>
        <v/>
      </c>
      <c r="Q315" s="8" t="n"/>
      <c r="R315" s="8" t="inlineStr">
        <is>
          <t>En stock</t>
        </is>
      </c>
      <c r="S315" s="9" t="n"/>
    </row>
    <row r="316">
      <c r="A316" s="8" t="n">
        <v>310</v>
      </c>
      <c r="B316" s="8" t="inlineStr">
        <is>
          <t>Matières premières</t>
        </is>
      </c>
      <c r="C316" s="8" t="inlineStr">
        <is>
          <t>Ingrédients &gt; Matières grasses &amp; Huiles</t>
        </is>
      </c>
      <c r="D316" s="8" t="inlineStr">
        <is>
          <t>Huile de table</t>
        </is>
      </c>
      <c r="E316" s="8" t="inlineStr"/>
      <c r="F316" s="8" t="inlineStr">
        <is>
          <t>l</t>
        </is>
      </c>
      <c r="G316" s="8" t="inlineStr"/>
      <c r="H316" s="14" t="n"/>
      <c r="I316" s="14" t="n">
        <v>0</v>
      </c>
      <c r="J316" s="15" t="n"/>
      <c r="K316" s="16" t="n"/>
      <c r="L316" s="17">
        <f>IF(AND(J316="",K316=""),"",IF(H316="",K316,J316*H316+K316))</f>
        <v/>
      </c>
      <c r="M316" s="17">
        <f>IF(L316="","",L316-I316)</f>
        <v/>
      </c>
      <c r="N316" s="18" t="n">
        <v>17.5</v>
      </c>
      <c r="O316" s="19">
        <f>IF(L316="","",L316*N316)</f>
        <v/>
      </c>
      <c r="P316" s="19">
        <f>IF(M316="","",M316*N316)</f>
        <v/>
      </c>
      <c r="Q316" s="8" t="n"/>
      <c r="R316" s="8" t="inlineStr">
        <is>
          <t>En stock</t>
        </is>
      </c>
      <c r="S316" s="9" t="n"/>
    </row>
    <row r="317">
      <c r="A317" s="8" t="n">
        <v>311</v>
      </c>
      <c r="B317" s="8" t="inlineStr">
        <is>
          <t>Matières premières</t>
        </is>
      </c>
      <c r="C317" s="8" t="inlineStr">
        <is>
          <t>Ingrédients &gt; Oeufs</t>
        </is>
      </c>
      <c r="D317" s="8" t="inlineStr">
        <is>
          <t>OEUFS DE CAILLE</t>
        </is>
      </c>
      <c r="E317" s="8" t="inlineStr"/>
      <c r="F317" s="8" t="inlineStr">
        <is>
          <t>unit</t>
        </is>
      </c>
      <c r="G317" s="8" t="inlineStr"/>
      <c r="H317" s="14" t="n"/>
      <c r="I317" s="14" t="n">
        <v>0</v>
      </c>
      <c r="J317" s="15" t="n"/>
      <c r="K317" s="16" t="n"/>
      <c r="L317" s="17">
        <f>IF(AND(J317="",K317=""),"",IF(H317="",K317,J317*H317+K317))</f>
        <v/>
      </c>
      <c r="M317" s="17">
        <f>IF(L317="","",L317-I317)</f>
        <v/>
      </c>
      <c r="N317" s="18" t="n">
        <v>17</v>
      </c>
      <c r="O317" s="19">
        <f>IF(L317="","",L317*N317)</f>
        <v/>
      </c>
      <c r="P317" s="19">
        <f>IF(M317="","",M317*N317)</f>
        <v/>
      </c>
      <c r="Q317" s="8" t="n"/>
      <c r="R317" s="8" t="inlineStr">
        <is>
          <t>En stock</t>
        </is>
      </c>
      <c r="S317" s="9" t="n"/>
    </row>
    <row r="318">
      <c r="A318" s="8" t="n">
        <v>312</v>
      </c>
      <c r="B318" s="8" t="inlineStr">
        <is>
          <t>Matières premières</t>
        </is>
      </c>
      <c r="C318" s="8" t="inlineStr">
        <is>
          <t>Ingrédients &gt; Oeufs</t>
        </is>
      </c>
      <c r="D318" s="8" t="inlineStr">
        <is>
          <t>Oeuf</t>
        </is>
      </c>
      <c r="E318" s="8" t="inlineStr"/>
      <c r="F318" s="8" t="inlineStr">
        <is>
          <t>unit</t>
        </is>
      </c>
      <c r="G318" s="8" t="inlineStr"/>
      <c r="H318" s="14" t="n"/>
      <c r="I318" s="14" t="n">
        <v>0</v>
      </c>
      <c r="J318" s="15" t="n"/>
      <c r="K318" s="16" t="n"/>
      <c r="L318" s="17">
        <f>IF(AND(J318="",K318=""),"",IF(H318="",K318,J318*H318+K318))</f>
        <v/>
      </c>
      <c r="M318" s="17">
        <f>IF(L318="","",L318-I318)</f>
        <v/>
      </c>
      <c r="N318" s="18" t="n">
        <v>0.88</v>
      </c>
      <c r="O318" s="19">
        <f>IF(L318="","",L318*N318)</f>
        <v/>
      </c>
      <c r="P318" s="19">
        <f>IF(M318="","",M318*N318)</f>
        <v/>
      </c>
      <c r="Q318" s="8" t="n"/>
      <c r="R318" s="8" t="inlineStr">
        <is>
          <t>En stock</t>
        </is>
      </c>
      <c r="S318" s="9" t="n"/>
    </row>
    <row r="319">
      <c r="A319" s="8" t="n">
        <v>313</v>
      </c>
      <c r="B319" s="8" t="inlineStr">
        <is>
          <t>Matières premières</t>
        </is>
      </c>
      <c r="C319" s="8" t="inlineStr">
        <is>
          <t>Ingrédients &gt; Oeufs</t>
        </is>
      </c>
      <c r="D319" s="8" t="inlineStr">
        <is>
          <t>Oeuf entier</t>
        </is>
      </c>
      <c r="E319" s="8" t="inlineStr"/>
      <c r="F319" s="8" t="inlineStr">
        <is>
          <t>unit</t>
        </is>
      </c>
      <c r="G319" s="8" t="inlineStr"/>
      <c r="H319" s="14" t="n"/>
      <c r="I319" s="14" t="n">
        <v>0</v>
      </c>
      <c r="J319" s="15" t="n"/>
      <c r="K319" s="16" t="n"/>
      <c r="L319" s="17">
        <f>IF(AND(J319="",K319=""),"",IF(H319="",K319,J319*H319+K319))</f>
        <v/>
      </c>
      <c r="M319" s="17">
        <f>IF(L319="","",L319-I319)</f>
        <v/>
      </c>
      <c r="N319" s="18" t="n">
        <v>24</v>
      </c>
      <c r="O319" s="19">
        <f>IF(L319="","",L319*N319)</f>
        <v/>
      </c>
      <c r="P319" s="19">
        <f>IF(M319="","",M319*N319)</f>
        <v/>
      </c>
      <c r="Q319" s="8" t="n"/>
      <c r="R319" s="8" t="inlineStr">
        <is>
          <t>Stock a 0</t>
        </is>
      </c>
      <c r="S319" s="9" t="n"/>
    </row>
    <row r="320">
      <c r="A320" s="8" t="n">
        <v>314</v>
      </c>
      <c r="B320" s="8" t="inlineStr">
        <is>
          <t>Matières premières</t>
        </is>
      </c>
      <c r="C320" s="8" t="inlineStr">
        <is>
          <t>Ingrédients &gt; Oeufs</t>
        </is>
      </c>
      <c r="D320" s="8" t="inlineStr">
        <is>
          <t>Oeufs</t>
        </is>
      </c>
      <c r="E320" s="8" t="inlineStr">
        <is>
          <t>Générique</t>
        </is>
      </c>
      <c r="F320" s="8" t="inlineStr">
        <is>
          <t>unit</t>
        </is>
      </c>
      <c r="G320" s="8" t="inlineStr"/>
      <c r="H320" s="14" t="n"/>
      <c r="I320" s="14" t="n">
        <v>0</v>
      </c>
      <c r="J320" s="15" t="n"/>
      <c r="K320" s="16" t="n"/>
      <c r="L320" s="17">
        <f>IF(AND(J320="",K320=""),"",IF(H320="",K320,J320*H320+K320))</f>
        <v/>
      </c>
      <c r="M320" s="17">
        <f>IF(L320="","",L320-I320)</f>
        <v/>
      </c>
      <c r="N320" s="18" t="n">
        <v>0.7</v>
      </c>
      <c r="O320" s="19">
        <f>IF(L320="","",L320*N320)</f>
        <v/>
      </c>
      <c r="P320" s="19">
        <f>IF(M320="","",M320*N320)</f>
        <v/>
      </c>
      <c r="Q320" s="8" t="n"/>
      <c r="R320" s="8" t="inlineStr">
        <is>
          <t>Stock a 0</t>
        </is>
      </c>
      <c r="S320" s="9" t="n"/>
    </row>
    <row r="321">
      <c r="A321" s="8" t="n">
        <v>315</v>
      </c>
      <c r="B321" s="8" t="inlineStr">
        <is>
          <t>Matières premières</t>
        </is>
      </c>
      <c r="C321" s="8" t="inlineStr">
        <is>
          <t>Ingrédients &gt; Oeufs</t>
        </is>
      </c>
      <c r="D321" s="8" t="inlineStr">
        <is>
          <t>Oeufs Jaune</t>
        </is>
      </c>
      <c r="E321" s="8" t="inlineStr">
        <is>
          <t>Ovotec</t>
        </is>
      </c>
      <c r="F321" s="8" t="inlineStr">
        <is>
          <t>kg</t>
        </is>
      </c>
      <c r="G321" s="8" t="inlineStr"/>
      <c r="H321" s="14" t="n"/>
      <c r="I321" s="14" t="n">
        <v>0</v>
      </c>
      <c r="J321" s="15" t="n"/>
      <c r="K321" s="16" t="n"/>
      <c r="L321" s="17">
        <f>IF(AND(J321="",K321=""),"",IF(H321="",K321,J321*H321+K321))</f>
        <v/>
      </c>
      <c r="M321" s="17">
        <f>IF(L321="","",L321-I321)</f>
        <v/>
      </c>
      <c r="N321" s="18" t="n">
        <v>30.23</v>
      </c>
      <c r="O321" s="19">
        <f>IF(L321="","",L321*N321)</f>
        <v/>
      </c>
      <c r="P321" s="19">
        <f>IF(M321="","",M321*N321)</f>
        <v/>
      </c>
      <c r="Q321" s="8" t="n"/>
      <c r="R321" s="8" t="inlineStr">
        <is>
          <t>Jamais recu</t>
        </is>
      </c>
      <c r="S321" s="9" t="n"/>
    </row>
    <row r="322">
      <c r="A322" s="8" t="n">
        <v>316</v>
      </c>
      <c r="B322" s="8" t="inlineStr">
        <is>
          <t>Matières premières</t>
        </is>
      </c>
      <c r="C322" s="8" t="inlineStr">
        <is>
          <t>Ingrédients &gt; Plantes arômatiques</t>
        </is>
      </c>
      <c r="D322" s="8" t="inlineStr">
        <is>
          <t>Aneth</t>
        </is>
      </c>
      <c r="E322" s="8" t="inlineStr"/>
      <c r="F322" s="8" t="inlineStr">
        <is>
          <t>kg</t>
        </is>
      </c>
      <c r="G322" s="8" t="inlineStr"/>
      <c r="H322" s="14" t="n"/>
      <c r="I322" s="14" t="n">
        <v>0</v>
      </c>
      <c r="J322" s="15" t="n"/>
      <c r="K322" s="16" t="n"/>
      <c r="L322" s="17">
        <f>IF(AND(J322="",K322=""),"",IF(H322="",K322,J322*H322+K322))</f>
        <v/>
      </c>
      <c r="M322" s="17">
        <f>IF(L322="","",L322-I322)</f>
        <v/>
      </c>
      <c r="N322" s="18" t="n">
        <v>60</v>
      </c>
      <c r="O322" s="19">
        <f>IF(L322="","",L322*N322)</f>
        <v/>
      </c>
      <c r="P322" s="19">
        <f>IF(M322="","",M322*N322)</f>
        <v/>
      </c>
      <c r="Q322" s="8" t="n"/>
      <c r="R322" s="8" t="inlineStr">
        <is>
          <t>Jamais recu</t>
        </is>
      </c>
      <c r="S322" s="9" t="n"/>
    </row>
    <row r="323">
      <c r="A323" s="8" t="n">
        <v>317</v>
      </c>
      <c r="B323" s="8" t="inlineStr">
        <is>
          <t>Matières premières</t>
        </is>
      </c>
      <c r="C323" s="8" t="inlineStr">
        <is>
          <t>Ingrédients &gt; Plantes arômatiques</t>
        </is>
      </c>
      <c r="D323" s="8" t="inlineStr">
        <is>
          <t>Thym</t>
        </is>
      </c>
      <c r="E323" s="8" t="inlineStr"/>
      <c r="F323" s="8" t="inlineStr">
        <is>
          <t>kg</t>
        </is>
      </c>
      <c r="G323" s="8" t="inlineStr"/>
      <c r="H323" s="14" t="n"/>
      <c r="I323" s="14" t="n">
        <v>0</v>
      </c>
      <c r="J323" s="15" t="n"/>
      <c r="K323" s="16" t="n"/>
      <c r="L323" s="17">
        <f>IF(AND(J323="",K323=""),"",IF(H323="",K323,J323*H323+K323))</f>
        <v/>
      </c>
      <c r="M323" s="17">
        <f>IF(L323="","",L323-I323)</f>
        <v/>
      </c>
      <c r="N323" s="18" t="n">
        <v>48</v>
      </c>
      <c r="O323" s="19">
        <f>IF(L323="","",L323*N323)</f>
        <v/>
      </c>
      <c r="P323" s="19">
        <f>IF(M323="","",M323*N323)</f>
        <v/>
      </c>
      <c r="Q323" s="8" t="n"/>
      <c r="R323" s="8" t="inlineStr">
        <is>
          <t>Stock a 0</t>
        </is>
      </c>
      <c r="S323" s="9" t="n"/>
    </row>
    <row r="324">
      <c r="A324" s="8" t="n">
        <v>318</v>
      </c>
      <c r="B324" s="8" t="inlineStr">
        <is>
          <t>Matières premières</t>
        </is>
      </c>
      <c r="C324" s="8" t="inlineStr">
        <is>
          <t>Ingrédients &gt; Poissons &amp; Fruits de mer</t>
        </is>
      </c>
      <c r="D324" s="8" t="inlineStr">
        <is>
          <t>Calamar</t>
        </is>
      </c>
      <c r="E324" s="8" t="inlineStr"/>
      <c r="F324" s="8" t="inlineStr">
        <is>
          <t>kg</t>
        </is>
      </c>
      <c r="G324" s="8" t="inlineStr"/>
      <c r="H324" s="14" t="n"/>
      <c r="I324" s="14" t="n">
        <v>0</v>
      </c>
      <c r="J324" s="15" t="n"/>
      <c r="K324" s="16" t="n"/>
      <c r="L324" s="17">
        <f>IF(AND(J324="",K324=""),"",IF(H324="",K324,J324*H324+K324))</f>
        <v/>
      </c>
      <c r="M324" s="17">
        <f>IF(L324="","",L324-I324)</f>
        <v/>
      </c>
      <c r="N324" s="18" t="n">
        <v>130</v>
      </c>
      <c r="O324" s="19">
        <f>IF(L324="","",L324*N324)</f>
        <v/>
      </c>
      <c r="P324" s="19">
        <f>IF(M324="","",M324*N324)</f>
        <v/>
      </c>
      <c r="Q324" s="8" t="n"/>
      <c r="R324" s="8" t="inlineStr">
        <is>
          <t>Stock a 0</t>
        </is>
      </c>
      <c r="S324" s="9" t="n"/>
    </row>
    <row r="325">
      <c r="A325" s="8" t="n">
        <v>319</v>
      </c>
      <c r="B325" s="8" t="inlineStr">
        <is>
          <t>Matières premières</t>
        </is>
      </c>
      <c r="C325" s="8" t="inlineStr">
        <is>
          <t>Ingrédients &gt; Poissons &amp; Fruits de mer</t>
        </is>
      </c>
      <c r="D325" s="8" t="inlineStr">
        <is>
          <t>Crevettes</t>
        </is>
      </c>
      <c r="E325" s="8" t="inlineStr"/>
      <c r="F325" s="8" t="inlineStr">
        <is>
          <t>kg</t>
        </is>
      </c>
      <c r="G325" s="8" t="inlineStr"/>
      <c r="H325" s="14" t="n"/>
      <c r="I325" s="14" t="n">
        <v>0</v>
      </c>
      <c r="J325" s="15" t="n"/>
      <c r="K325" s="16" t="n"/>
      <c r="L325" s="17">
        <f>IF(AND(J325="",K325=""),"",IF(H325="",K325,J325*H325+K325))</f>
        <v/>
      </c>
      <c r="M325" s="17">
        <f>IF(L325="","",L325-I325)</f>
        <v/>
      </c>
      <c r="N325" s="18" t="n">
        <v>125</v>
      </c>
      <c r="O325" s="19">
        <f>IF(L325="","",L325*N325)</f>
        <v/>
      </c>
      <c r="P325" s="19">
        <f>IF(M325="","",M325*N325)</f>
        <v/>
      </c>
      <c r="Q325" s="8" t="n"/>
      <c r="R325" s="8" t="inlineStr">
        <is>
          <t>Stock a 0</t>
        </is>
      </c>
      <c r="S325" s="9" t="n"/>
    </row>
    <row r="326">
      <c r="A326" s="8" t="n">
        <v>320</v>
      </c>
      <c r="B326" s="8" t="inlineStr">
        <is>
          <t>Matières premières</t>
        </is>
      </c>
      <c r="C326" s="8" t="inlineStr">
        <is>
          <t>Ingrédients &gt; Poissons &amp; Fruits de mer</t>
        </is>
      </c>
      <c r="D326" s="8" t="inlineStr">
        <is>
          <t>Crevettes</t>
        </is>
      </c>
      <c r="E326" s="8" t="inlineStr"/>
      <c r="F326" s="8" t="inlineStr">
        <is>
          <t>kg</t>
        </is>
      </c>
      <c r="G326" s="8" t="inlineStr"/>
      <c r="H326" s="14" t="n"/>
      <c r="I326" s="14" t="n">
        <v>0</v>
      </c>
      <c r="J326" s="15" t="n"/>
      <c r="K326" s="16" t="n"/>
      <c r="L326" s="17">
        <f>IF(AND(J326="",K326=""),"",IF(H326="",K326,J326*H326+K326))</f>
        <v/>
      </c>
      <c r="M326" s="17">
        <f>IF(L326="","",L326-I326)</f>
        <v/>
      </c>
      <c r="N326" s="18" t="n">
        <v>125</v>
      </c>
      <c r="O326" s="19">
        <f>IF(L326="","",L326*N326)</f>
        <v/>
      </c>
      <c r="P326" s="19">
        <f>IF(M326="","",M326*N326)</f>
        <v/>
      </c>
      <c r="Q326" s="8" t="n"/>
      <c r="R326" s="8" t="inlineStr">
        <is>
          <t>Stock a 0</t>
        </is>
      </c>
      <c r="S326" s="9" t="n"/>
    </row>
    <row r="327">
      <c r="A327" s="8" t="n">
        <v>321</v>
      </c>
      <c r="B327" s="8" t="inlineStr">
        <is>
          <t>Matières premières</t>
        </is>
      </c>
      <c r="C327" s="8" t="inlineStr">
        <is>
          <t>Ingrédients &gt; Poissons &amp; Fruits de mer</t>
        </is>
      </c>
      <c r="D327" s="8" t="inlineStr">
        <is>
          <t>Requin</t>
        </is>
      </c>
      <c r="E327" s="8" t="inlineStr"/>
      <c r="F327" s="8" t="inlineStr">
        <is>
          <t>kg</t>
        </is>
      </c>
      <c r="G327" s="8" t="inlineStr"/>
      <c r="H327" s="14" t="n"/>
      <c r="I327" s="14" t="n">
        <v>0</v>
      </c>
      <c r="J327" s="15" t="n"/>
      <c r="K327" s="16" t="n"/>
      <c r="L327" s="17">
        <f>IF(AND(J327="",K327=""),"",IF(H327="",K327,J327*H327+K327))</f>
        <v/>
      </c>
      <c r="M327" s="17">
        <f>IF(L327="","",L327-I327)</f>
        <v/>
      </c>
      <c r="N327" s="18" t="n">
        <v>60</v>
      </c>
      <c r="O327" s="19">
        <f>IF(L327="","",L327*N327)</f>
        <v/>
      </c>
      <c r="P327" s="19">
        <f>IF(M327="","",M327*N327)</f>
        <v/>
      </c>
      <c r="Q327" s="8" t="n"/>
      <c r="R327" s="8" t="inlineStr">
        <is>
          <t>Stock a 0</t>
        </is>
      </c>
      <c r="S327" s="9" t="n"/>
    </row>
    <row r="328">
      <c r="A328" s="8" t="n">
        <v>322</v>
      </c>
      <c r="B328" s="8" t="inlineStr">
        <is>
          <t>Matières premières</t>
        </is>
      </c>
      <c r="C328" s="8" t="inlineStr">
        <is>
          <t>Ingrédients &gt; Poissons &amp; Fruits de mer</t>
        </is>
      </c>
      <c r="D328" s="8" t="inlineStr">
        <is>
          <t>Saumon</t>
        </is>
      </c>
      <c r="E328" s="8" t="inlineStr"/>
      <c r="F328" s="8" t="inlineStr">
        <is>
          <t>kg</t>
        </is>
      </c>
      <c r="G328" s="8" t="inlineStr"/>
      <c r="H328" s="14" t="n"/>
      <c r="I328" s="14" t="n">
        <v>0</v>
      </c>
      <c r="J328" s="15" t="n"/>
      <c r="K328" s="16" t="n"/>
      <c r="L328" s="17">
        <f>IF(AND(J328="",K328=""),"",IF(H328="",K328,J328*H328+K328))</f>
        <v/>
      </c>
      <c r="M328" s="17">
        <f>IF(L328="","",L328-I328)</f>
        <v/>
      </c>
      <c r="N328" s="18" t="n">
        <v>400</v>
      </c>
      <c r="O328" s="19">
        <f>IF(L328="","",L328*N328)</f>
        <v/>
      </c>
      <c r="P328" s="19">
        <f>IF(M328="","",M328*N328)</f>
        <v/>
      </c>
      <c r="Q328" s="8" t="n"/>
      <c r="R328" s="8" t="inlineStr">
        <is>
          <t>Stock a 0</t>
        </is>
      </c>
      <c r="S328" s="9" t="n"/>
    </row>
    <row r="329">
      <c r="A329" s="8" t="n">
        <v>323</v>
      </c>
      <c r="B329" s="8" t="inlineStr">
        <is>
          <t>Matières premières</t>
        </is>
      </c>
      <c r="C329" s="8" t="inlineStr">
        <is>
          <t>Ingrédients &gt; Poissons &amp; Fruits de mer</t>
        </is>
      </c>
      <c r="D329" s="8" t="inlineStr">
        <is>
          <t>Saumon fume</t>
        </is>
      </c>
      <c r="E329" s="8" t="inlineStr"/>
      <c r="F329" s="8" t="inlineStr">
        <is>
          <t>kg</t>
        </is>
      </c>
      <c r="G329" s="8" t="inlineStr"/>
      <c r="H329" s="14" t="n"/>
      <c r="I329" s="14" t="n">
        <v>0</v>
      </c>
      <c r="J329" s="15" t="n"/>
      <c r="K329" s="16" t="n"/>
      <c r="L329" s="17">
        <f>IF(AND(J329="",K329=""),"",IF(H329="",K329,J329*H329+K329))</f>
        <v/>
      </c>
      <c r="M329" s="17">
        <f>IF(L329="","",L329-I329)</f>
        <v/>
      </c>
      <c r="N329" s="18" t="n">
        <v>0</v>
      </c>
      <c r="O329" s="19">
        <f>IF(L329="","",L329*N329)</f>
        <v/>
      </c>
      <c r="P329" s="19">
        <f>IF(M329="","",M329*N329)</f>
        <v/>
      </c>
      <c r="Q329" s="8" t="n"/>
      <c r="R329" s="8" t="inlineStr">
        <is>
          <t>Jamais recu</t>
        </is>
      </c>
      <c r="S329" s="9" t="n"/>
    </row>
    <row r="330">
      <c r="A330" s="8" t="n">
        <v>324</v>
      </c>
      <c r="B330" s="8" t="inlineStr">
        <is>
          <t>Matières premières</t>
        </is>
      </c>
      <c r="C330" s="8" t="inlineStr">
        <is>
          <t>Ingrédients &gt; Poissons &amp; Fruits de mer</t>
        </is>
      </c>
      <c r="D330" s="8" t="inlineStr">
        <is>
          <t>Seiche</t>
        </is>
      </c>
      <c r="E330" s="8" t="inlineStr"/>
      <c r="F330" s="8" t="inlineStr">
        <is>
          <t>kg</t>
        </is>
      </c>
      <c r="G330" s="8" t="inlineStr"/>
      <c r="H330" s="14" t="n"/>
      <c r="I330" s="14" t="n">
        <v>0</v>
      </c>
      <c r="J330" s="15" t="n"/>
      <c r="K330" s="16" t="n"/>
      <c r="L330" s="17">
        <f>IF(AND(J330="",K330=""),"",IF(H330="",K330,J330*H330+K330))</f>
        <v/>
      </c>
      <c r="M330" s="17">
        <f>IF(L330="","",L330-I330)</f>
        <v/>
      </c>
      <c r="N330" s="18" t="n">
        <v>100</v>
      </c>
      <c r="O330" s="19">
        <f>IF(L330="","",L330*N330)</f>
        <v/>
      </c>
      <c r="P330" s="19">
        <f>IF(M330="","",M330*N330)</f>
        <v/>
      </c>
      <c r="Q330" s="8" t="n"/>
      <c r="R330" s="8" t="inlineStr">
        <is>
          <t>Stock a 0</t>
        </is>
      </c>
      <c r="S330" s="9" t="n"/>
    </row>
    <row r="331">
      <c r="A331" s="8" t="n">
        <v>325</v>
      </c>
      <c r="B331" s="8" t="inlineStr">
        <is>
          <t>Matières premières</t>
        </is>
      </c>
      <c r="C331" s="8" t="inlineStr">
        <is>
          <t>Ingrédients &gt; Poissons &amp; Fruits de mer</t>
        </is>
      </c>
      <c r="D331" s="8" t="inlineStr">
        <is>
          <t>Sipea</t>
        </is>
      </c>
      <c r="E331" s="8" t="inlineStr"/>
      <c r="F331" s="8" t="inlineStr">
        <is>
          <t>kg</t>
        </is>
      </c>
      <c r="G331" s="8" t="inlineStr"/>
      <c r="H331" s="14" t="n"/>
      <c r="I331" s="14" t="n">
        <v>0</v>
      </c>
      <c r="J331" s="15" t="n"/>
      <c r="K331" s="16" t="n"/>
      <c r="L331" s="17">
        <f>IF(AND(J331="",K331=""),"",IF(H331="",K331,J331*H331+K331))</f>
        <v/>
      </c>
      <c r="M331" s="17">
        <f>IF(L331="","",L331-I331)</f>
        <v/>
      </c>
      <c r="N331" s="18" t="n">
        <v>0</v>
      </c>
      <c r="O331" s="19">
        <f>IF(L331="","",L331*N331)</f>
        <v/>
      </c>
      <c r="P331" s="19">
        <f>IF(M331="","",M331*N331)</f>
        <v/>
      </c>
      <c r="Q331" s="8" t="n"/>
      <c r="R331" s="8" t="inlineStr">
        <is>
          <t>Jamais recu</t>
        </is>
      </c>
      <c r="S331" s="9" t="n"/>
    </row>
    <row r="332">
      <c r="A332" s="8" t="n">
        <v>326</v>
      </c>
      <c r="B332" s="8" t="inlineStr">
        <is>
          <t>Matières premières</t>
        </is>
      </c>
      <c r="C332" s="8" t="inlineStr">
        <is>
          <t>Ingrédients &gt; Produits Laitiers</t>
        </is>
      </c>
      <c r="D332" s="8" t="inlineStr">
        <is>
          <t>Danone nature</t>
        </is>
      </c>
      <c r="E332" s="8" t="inlineStr"/>
      <c r="F332" s="8" t="inlineStr">
        <is>
          <t>unit</t>
        </is>
      </c>
      <c r="G332" s="8" t="inlineStr"/>
      <c r="H332" s="14" t="n"/>
      <c r="I332" s="14" t="n">
        <v>0</v>
      </c>
      <c r="J332" s="15" t="n"/>
      <c r="K332" s="16" t="n"/>
      <c r="L332" s="17">
        <f>IF(AND(J332="",K332=""),"",IF(H332="",K332,J332*H332+K332))</f>
        <v/>
      </c>
      <c r="M332" s="17">
        <f>IF(L332="","",L332-I332)</f>
        <v/>
      </c>
      <c r="N332" s="18" t="n">
        <v>2.5</v>
      </c>
      <c r="O332" s="19">
        <f>IF(L332="","",L332*N332)</f>
        <v/>
      </c>
      <c r="P332" s="19">
        <f>IF(M332="","",M332*N332)</f>
        <v/>
      </c>
      <c r="Q332" s="8" t="n"/>
      <c r="R332" s="8" t="inlineStr">
        <is>
          <t>En stock</t>
        </is>
      </c>
      <c r="S332" s="9" t="n"/>
    </row>
    <row r="333">
      <c r="A333" s="8" t="n">
        <v>327</v>
      </c>
      <c r="B333" s="8" t="inlineStr">
        <is>
          <t>Matières premières</t>
        </is>
      </c>
      <c r="C333" s="8" t="inlineStr">
        <is>
          <t>Ingrédients &gt; Produits laitiers (divers)</t>
        </is>
      </c>
      <c r="D333" s="8" t="inlineStr">
        <is>
          <t>Beurre</t>
        </is>
      </c>
      <c r="E333" s="8" t="inlineStr"/>
      <c r="F333" s="8" t="inlineStr">
        <is>
          <t>unit</t>
        </is>
      </c>
      <c r="G333" s="8" t="inlineStr"/>
      <c r="H333" s="14" t="n"/>
      <c r="I333" s="14" t="n">
        <v>0</v>
      </c>
      <c r="J333" s="15" t="n"/>
      <c r="K333" s="16" t="n"/>
      <c r="L333" s="17">
        <f>IF(AND(J333="",K333=""),"",IF(H333="",K333,J333*H333+K333))</f>
        <v/>
      </c>
      <c r="M333" s="17">
        <f>IF(L333="","",L333-I333)</f>
        <v/>
      </c>
      <c r="N333" s="18" t="n">
        <v>15</v>
      </c>
      <c r="O333" s="19">
        <f>IF(L333="","",L333*N333)</f>
        <v/>
      </c>
      <c r="P333" s="19">
        <f>IF(M333="","",M333*N333)</f>
        <v/>
      </c>
      <c r="Q333" s="8" t="n"/>
      <c r="R333" s="8" t="inlineStr">
        <is>
          <t>Stock a 0</t>
        </is>
      </c>
      <c r="S333" s="9" t="n"/>
    </row>
    <row r="334">
      <c r="A334" s="8" t="n">
        <v>328</v>
      </c>
      <c r="B334" s="8" t="inlineStr">
        <is>
          <t>Matières premières</t>
        </is>
      </c>
      <c r="C334" s="8" t="inlineStr">
        <is>
          <t>Ingrédients &gt; Produits laitiers (divers)</t>
        </is>
      </c>
      <c r="D334" s="8" t="inlineStr">
        <is>
          <t>Blancs d'œufs liquides pasteurisés</t>
        </is>
      </c>
      <c r="E334" s="8" t="inlineStr">
        <is>
          <t>Ovotec</t>
        </is>
      </c>
      <c r="F334" s="8" t="inlineStr">
        <is>
          <t>kg</t>
        </is>
      </c>
      <c r="G334" s="8" t="inlineStr"/>
      <c r="H334" s="14" t="n"/>
      <c r="I334" s="14" t="n">
        <v>0</v>
      </c>
      <c r="J334" s="15" t="n"/>
      <c r="K334" s="16" t="n"/>
      <c r="L334" s="17">
        <f>IF(AND(J334="",K334=""),"",IF(H334="",K334,J334*H334+K334))</f>
        <v/>
      </c>
      <c r="M334" s="17">
        <f>IF(L334="","",L334-I334)</f>
        <v/>
      </c>
      <c r="N334" s="18" t="n">
        <v>12.8</v>
      </c>
      <c r="O334" s="19">
        <f>IF(L334="","",L334*N334)</f>
        <v/>
      </c>
      <c r="P334" s="19">
        <f>IF(M334="","",M334*N334)</f>
        <v/>
      </c>
      <c r="Q334" s="8" t="n"/>
      <c r="R334" s="8" t="inlineStr">
        <is>
          <t>Jamais recu</t>
        </is>
      </c>
      <c r="S334" s="9" t="n"/>
    </row>
    <row r="335">
      <c r="A335" s="8" t="n">
        <v>329</v>
      </c>
      <c r="B335" s="8" t="inlineStr">
        <is>
          <t>Matières premières</t>
        </is>
      </c>
      <c r="C335" s="8" t="inlineStr">
        <is>
          <t>Ingrédients &gt; Produits laitiers (divers)</t>
        </is>
      </c>
      <c r="D335" s="8" t="inlineStr">
        <is>
          <t>Chocolat couverture lait VHP</t>
        </is>
      </c>
      <c r="E335" s="8" t="inlineStr">
        <is>
          <t>ECOMAB</t>
        </is>
      </c>
      <c r="F335" s="8" t="inlineStr">
        <is>
          <t>kg</t>
        </is>
      </c>
      <c r="G335" s="8" t="inlineStr"/>
      <c r="H335" s="14" t="n"/>
      <c r="I335" s="14" t="n">
        <v>0</v>
      </c>
      <c r="J335" s="15" t="n"/>
      <c r="K335" s="16" t="n"/>
      <c r="L335" s="17">
        <f>IF(AND(J335="",K335=""),"",IF(H335="",K335,J335*H335+K335))</f>
        <v/>
      </c>
      <c r="M335" s="17">
        <f>IF(L335="","",L335-I335)</f>
        <v/>
      </c>
      <c r="N335" s="18" t="n">
        <v>100</v>
      </c>
      <c r="O335" s="19">
        <f>IF(L335="","",L335*N335)</f>
        <v/>
      </c>
      <c r="P335" s="19">
        <f>IF(M335="","",M335*N335)</f>
        <v/>
      </c>
      <c r="Q335" s="8" t="n"/>
      <c r="R335" s="8" t="inlineStr">
        <is>
          <t>En stock</t>
        </is>
      </c>
      <c r="S335" s="9" t="n"/>
    </row>
    <row r="336">
      <c r="A336" s="8" t="n">
        <v>330</v>
      </c>
      <c r="B336" s="8" t="inlineStr">
        <is>
          <t>Matières premières</t>
        </is>
      </c>
      <c r="C336" s="8" t="inlineStr">
        <is>
          <t>Ingrédients &gt; Produits laitiers (divers)</t>
        </is>
      </c>
      <c r="D336" s="8" t="inlineStr">
        <is>
          <t>Crème cuisson</t>
        </is>
      </c>
      <c r="E336" s="8" t="inlineStr">
        <is>
          <t>Ovotec</t>
        </is>
      </c>
      <c r="F336" s="8" t="inlineStr">
        <is>
          <t>kg</t>
        </is>
      </c>
      <c r="G336" s="8" t="inlineStr"/>
      <c r="H336" s="14" t="n"/>
      <c r="I336" s="14" t="n">
        <v>0</v>
      </c>
      <c r="J336" s="15" t="n"/>
      <c r="K336" s="16" t="n"/>
      <c r="L336" s="17">
        <f>IF(AND(J336="",K336=""),"",IF(H336="",K336,J336*H336+K336))</f>
        <v/>
      </c>
      <c r="M336" s="17">
        <f>IF(L336="","",L336-I336)</f>
        <v/>
      </c>
      <c r="N336" s="18" t="n">
        <v>28</v>
      </c>
      <c r="O336" s="19">
        <f>IF(L336="","",L336*N336)</f>
        <v/>
      </c>
      <c r="P336" s="19">
        <f>IF(M336="","",M336*N336)</f>
        <v/>
      </c>
      <c r="Q336" s="8" t="n"/>
      <c r="R336" s="8" t="inlineStr">
        <is>
          <t>En stock</t>
        </is>
      </c>
      <c r="S336" s="9" t="n"/>
    </row>
    <row r="337">
      <c r="A337" s="8" t="n">
        <v>331</v>
      </c>
      <c r="B337" s="8" t="inlineStr">
        <is>
          <t>Matières premières</t>
        </is>
      </c>
      <c r="C337" s="8" t="inlineStr">
        <is>
          <t>Ingrédients &gt; Produits laitiers (divers)</t>
        </is>
      </c>
      <c r="D337" s="8" t="inlineStr">
        <is>
          <t>Crème fraîche</t>
        </is>
      </c>
      <c r="E337" s="8" t="inlineStr">
        <is>
          <t>Générique</t>
        </is>
      </c>
      <c r="F337" s="8" t="inlineStr">
        <is>
          <t>kg</t>
        </is>
      </c>
      <c r="G337" s="8" t="inlineStr"/>
      <c r="H337" s="14" t="n"/>
      <c r="I337" s="14" t="n">
        <v>0</v>
      </c>
      <c r="J337" s="15" t="n"/>
      <c r="K337" s="16" t="n"/>
      <c r="L337" s="17">
        <f>IF(AND(J337="",K337=""),"",IF(H337="",K337,J337*H337+K337))</f>
        <v/>
      </c>
      <c r="M337" s="17">
        <f>IF(L337="","",L337-I337)</f>
        <v/>
      </c>
      <c r="N337" s="18" t="n">
        <v>25.5</v>
      </c>
      <c r="O337" s="19">
        <f>IF(L337="","",L337*N337)</f>
        <v/>
      </c>
      <c r="P337" s="19">
        <f>IF(M337="","",M337*N337)</f>
        <v/>
      </c>
      <c r="Q337" s="8" t="n"/>
      <c r="R337" s="8" t="inlineStr">
        <is>
          <t>En stock</t>
        </is>
      </c>
      <c r="S337" s="9" t="n"/>
    </row>
    <row r="338">
      <c r="A338" s="8" t="n">
        <v>332</v>
      </c>
      <c r="B338" s="8" t="inlineStr">
        <is>
          <t>Matières premières</t>
        </is>
      </c>
      <c r="C338" s="8" t="inlineStr">
        <is>
          <t>Ingrédients &gt; Produits laitiers (divers)</t>
        </is>
      </c>
      <c r="D338" s="8" t="inlineStr">
        <is>
          <t>Danone</t>
        </is>
      </c>
      <c r="E338" s="8" t="inlineStr"/>
      <c r="F338" s="8" t="inlineStr">
        <is>
          <t>unit</t>
        </is>
      </c>
      <c r="G338" s="8" t="inlineStr"/>
      <c r="H338" s="14" t="n"/>
      <c r="I338" s="14" t="n">
        <v>0</v>
      </c>
      <c r="J338" s="15" t="n"/>
      <c r="K338" s="16" t="n"/>
      <c r="L338" s="17">
        <f>IF(AND(J338="",K338=""),"",IF(H338="",K338,J338*H338+K338))</f>
        <v/>
      </c>
      <c r="M338" s="17">
        <f>IF(L338="","",L338-I338)</f>
        <v/>
      </c>
      <c r="N338" s="18" t="n">
        <v>2.5</v>
      </c>
      <c r="O338" s="19">
        <f>IF(L338="","",L338*N338)</f>
        <v/>
      </c>
      <c r="P338" s="19">
        <f>IF(M338="","",M338*N338)</f>
        <v/>
      </c>
      <c r="Q338" s="8" t="n"/>
      <c r="R338" s="8" t="inlineStr">
        <is>
          <t>Stock a 0</t>
        </is>
      </c>
      <c r="S338" s="9" t="n"/>
    </row>
    <row r="339">
      <c r="A339" s="8" t="n">
        <v>333</v>
      </c>
      <c r="B339" s="8" t="inlineStr">
        <is>
          <t>Matières premières</t>
        </is>
      </c>
      <c r="C339" s="8" t="inlineStr">
        <is>
          <t>Ingrédients &gt; Produits laitiers (divers)</t>
        </is>
      </c>
      <c r="D339" s="8" t="inlineStr">
        <is>
          <t>Lait</t>
        </is>
      </c>
      <c r="E339" s="8" t="inlineStr">
        <is>
          <t>Générique</t>
        </is>
      </c>
      <c r="F339" s="8" t="inlineStr">
        <is>
          <t>l</t>
        </is>
      </c>
      <c r="G339" s="8" t="inlineStr"/>
      <c r="H339" s="14" t="n"/>
      <c r="I339" s="14" t="n">
        <v>0</v>
      </c>
      <c r="J339" s="15" t="n"/>
      <c r="K339" s="16" t="n"/>
      <c r="L339" s="17">
        <f>IF(AND(J339="",K339=""),"",IF(H339="",K339,J339*H339+K339))</f>
        <v/>
      </c>
      <c r="M339" s="17">
        <f>IF(L339="","",L339-I339)</f>
        <v/>
      </c>
      <c r="N339" s="18" t="n">
        <v>10.1</v>
      </c>
      <c r="O339" s="19">
        <f>IF(L339="","",L339*N339)</f>
        <v/>
      </c>
      <c r="P339" s="19">
        <f>IF(M339="","",M339*N339)</f>
        <v/>
      </c>
      <c r="Q339" s="8" t="n"/>
      <c r="R339" s="8" t="inlineStr">
        <is>
          <t>En stock</t>
        </is>
      </c>
      <c r="S339" s="9" t="n"/>
    </row>
    <row r="340">
      <c r="A340" s="8" t="n">
        <v>334</v>
      </c>
      <c r="B340" s="8" t="inlineStr">
        <is>
          <t>Matières premières</t>
        </is>
      </c>
      <c r="C340" s="8" t="inlineStr">
        <is>
          <t>Ingrédients &gt; Produits laitiers (divers)</t>
        </is>
      </c>
      <c r="D340" s="8" t="inlineStr">
        <is>
          <t>Mozzarella</t>
        </is>
      </c>
      <c r="E340" s="8" t="inlineStr">
        <is>
          <t>Primera/Ovotec</t>
        </is>
      </c>
      <c r="F340" s="8" t="inlineStr">
        <is>
          <t>kg</t>
        </is>
      </c>
      <c r="G340" s="8" t="inlineStr"/>
      <c r="H340" s="14" t="n"/>
      <c r="I340" s="14" t="n">
        <v>0</v>
      </c>
      <c r="J340" s="15" t="n"/>
      <c r="K340" s="30" t="n">
        <v>5</v>
      </c>
      <c r="L340" s="17">
        <f>IF(AND(J340="",K340=""),"",IF(H340="",K340,J340*H340+K340))</f>
        <v/>
      </c>
      <c r="M340" s="17">
        <f>IF(L340="","",L340-I340)</f>
        <v/>
      </c>
      <c r="N340" s="18" t="n">
        <v>50</v>
      </c>
      <c r="O340" s="19">
        <f>IF(L340="","",L340*N340)</f>
        <v/>
      </c>
      <c r="P340" s="19">
        <f>IF(M340="","",M340*N340)</f>
        <v/>
      </c>
      <c r="Q340" s="8" t="n"/>
      <c r="R340" s="8" t="inlineStr">
        <is>
          <t>En stock</t>
        </is>
      </c>
      <c r="S340" s="9" t="n"/>
    </row>
    <row r="341">
      <c r="A341" s="8" t="n">
        <v>335</v>
      </c>
      <c r="B341" s="8" t="inlineStr">
        <is>
          <t>Matières premières</t>
        </is>
      </c>
      <c r="C341" s="8" t="inlineStr">
        <is>
          <t>Ingrédients &gt; Produits laitiers (divers)</t>
        </is>
      </c>
      <c r="D341" s="8" t="inlineStr">
        <is>
          <t>Mozzarella primera Ovotec</t>
        </is>
      </c>
      <c r="E341" s="8" t="inlineStr">
        <is>
          <t>OVOTEC</t>
        </is>
      </c>
      <c r="F341" s="8" t="inlineStr">
        <is>
          <t>kg</t>
        </is>
      </c>
      <c r="G341" s="8" t="inlineStr"/>
      <c r="H341" s="14" t="n"/>
      <c r="I341" s="14" t="n">
        <v>0</v>
      </c>
      <c r="J341" s="15" t="n"/>
      <c r="K341" s="16" t="n"/>
      <c r="L341" s="17">
        <f>IF(AND(J341="",K341=""),"",IF(H341="",K341,J341*H341+K341))</f>
        <v/>
      </c>
      <c r="M341" s="17">
        <f>IF(L341="","",L341-I341)</f>
        <v/>
      </c>
      <c r="N341" s="18" t="n">
        <v>45.83</v>
      </c>
      <c r="O341" s="19">
        <f>IF(L341="","",L341*N341)</f>
        <v/>
      </c>
      <c r="P341" s="19">
        <f>IF(M341="","",M341*N341)</f>
        <v/>
      </c>
      <c r="Q341" s="8" t="n"/>
      <c r="R341" s="8" t="inlineStr">
        <is>
          <t>Jamais recu</t>
        </is>
      </c>
      <c r="S341" s="9" t="n"/>
    </row>
    <row r="342">
      <c r="A342" s="8" t="n">
        <v>336</v>
      </c>
      <c r="B342" s="8" t="inlineStr">
        <is>
          <t>Matières premières</t>
        </is>
      </c>
      <c r="C342" s="8" t="inlineStr">
        <is>
          <t>Ingrédients &gt; Produits laitiers (divers)</t>
        </is>
      </c>
      <c r="D342" s="8" t="inlineStr">
        <is>
          <t>Oeufs entiers liquides</t>
        </is>
      </c>
      <c r="E342" s="8" t="inlineStr">
        <is>
          <t>Ovotec</t>
        </is>
      </c>
      <c r="F342" s="8" t="inlineStr">
        <is>
          <t>kg</t>
        </is>
      </c>
      <c r="G342" s="8" t="inlineStr"/>
      <c r="H342" s="14" t="n"/>
      <c r="I342" s="14" t="n">
        <v>0</v>
      </c>
      <c r="J342" s="15" t="n"/>
      <c r="K342" s="16" t="n"/>
      <c r="L342" s="17">
        <f>IF(AND(J342="",K342=""),"",IF(H342="",K342,J342*H342+K342))</f>
        <v/>
      </c>
      <c r="M342" s="17">
        <f>IF(L342="","",L342-I342)</f>
        <v/>
      </c>
      <c r="N342" s="18" t="n">
        <v>30</v>
      </c>
      <c r="O342" s="19">
        <f>IF(L342="","",L342*N342)</f>
        <v/>
      </c>
      <c r="P342" s="19">
        <f>IF(M342="","",M342*N342)</f>
        <v/>
      </c>
      <c r="Q342" s="8" t="n"/>
      <c r="R342" s="8" t="inlineStr">
        <is>
          <t>Jamais recu</t>
        </is>
      </c>
      <c r="S342" s="9" t="n"/>
    </row>
    <row r="343">
      <c r="A343" s="8" t="n">
        <v>337</v>
      </c>
      <c r="B343" s="8" t="inlineStr">
        <is>
          <t>Matières premières</t>
        </is>
      </c>
      <c r="C343" s="8" t="inlineStr">
        <is>
          <t>Ingrédients &gt; Produits laitiers (divers)</t>
        </is>
      </c>
      <c r="D343" s="8" t="inlineStr">
        <is>
          <t>Prép. poudre crème pâtissière MAB</t>
        </is>
      </c>
      <c r="E343" s="8" t="inlineStr">
        <is>
          <t>ECOMAB</t>
        </is>
      </c>
      <c r="F343" s="8" t="inlineStr">
        <is>
          <t>kg</t>
        </is>
      </c>
      <c r="G343" s="8" t="inlineStr"/>
      <c r="H343" s="14" t="n"/>
      <c r="I343" s="14" t="n">
        <v>0</v>
      </c>
      <c r="J343" s="15" t="n"/>
      <c r="K343" s="16" t="n"/>
      <c r="L343" s="17">
        <f>IF(AND(J343="",K343=""),"",IF(H343="",K343,J343*H343+K343))</f>
        <v/>
      </c>
      <c r="M343" s="17">
        <f>IF(L343="","",L343-I343)</f>
        <v/>
      </c>
      <c r="N343" s="18" t="n">
        <v>9.832000000000001</v>
      </c>
      <c r="O343" s="19">
        <f>IF(L343="","",L343*N343)</f>
        <v/>
      </c>
      <c r="P343" s="19">
        <f>IF(M343="","",M343*N343)</f>
        <v/>
      </c>
      <c r="Q343" s="8" t="n"/>
      <c r="R343" s="8" t="inlineStr">
        <is>
          <t>Stock a 0</t>
        </is>
      </c>
      <c r="S343" s="9" t="n"/>
    </row>
    <row r="344">
      <c r="A344" s="8" t="n">
        <v>338</v>
      </c>
      <c r="B344" s="8" t="inlineStr">
        <is>
          <t>Matières premières</t>
        </is>
      </c>
      <c r="C344" s="8" t="inlineStr">
        <is>
          <t>Ingrédients &gt; Produits laitiers (divers)</t>
        </is>
      </c>
      <c r="D344" s="8" t="inlineStr">
        <is>
          <t>Yagourt Nature</t>
        </is>
      </c>
      <c r="E344" s="8" t="inlineStr"/>
      <c r="F344" s="8" t="inlineStr">
        <is>
          <t>unit</t>
        </is>
      </c>
      <c r="G344" s="8" t="inlineStr"/>
      <c r="H344" s="14" t="n"/>
      <c r="I344" s="14" t="n">
        <v>0</v>
      </c>
      <c r="J344" s="15" t="n"/>
      <c r="K344" s="16" t="n"/>
      <c r="L344" s="17">
        <f>IF(AND(J344="",K344=""),"",IF(H344="",K344,J344*H344+K344))</f>
        <v/>
      </c>
      <c r="M344" s="17">
        <f>IF(L344="","",L344-I344)</f>
        <v/>
      </c>
      <c r="N344" s="18" t="n">
        <v>2.5</v>
      </c>
      <c r="O344" s="19">
        <f>IF(L344="","",L344*N344)</f>
        <v/>
      </c>
      <c r="P344" s="19">
        <f>IF(M344="","",M344*N344)</f>
        <v/>
      </c>
      <c r="Q344" s="8" t="n"/>
      <c r="R344" s="8" t="inlineStr">
        <is>
          <t>Stock a 0</t>
        </is>
      </c>
      <c r="S344" s="9" t="n"/>
    </row>
    <row r="345">
      <c r="A345" s="8" t="n">
        <v>339</v>
      </c>
      <c r="B345" s="8" t="inlineStr">
        <is>
          <t>Matières premières</t>
        </is>
      </c>
      <c r="C345" s="8" t="inlineStr">
        <is>
          <t>Ingrédients &gt; Préparations</t>
        </is>
      </c>
      <c r="D345" s="8" t="inlineStr">
        <is>
          <t>Konafa</t>
        </is>
      </c>
      <c r="E345" s="8" t="inlineStr"/>
      <c r="F345" s="8" t="inlineStr">
        <is>
          <t>unit</t>
        </is>
      </c>
      <c r="G345" s="8" t="inlineStr"/>
      <c r="H345" s="14" t="n"/>
      <c r="I345" s="14" t="n">
        <v>0</v>
      </c>
      <c r="J345" s="15" t="n"/>
      <c r="K345" s="16" t="n"/>
      <c r="L345" s="17">
        <f>IF(AND(J345="",K345=""),"",IF(H345="",K345,J345*H345+K345))</f>
        <v/>
      </c>
      <c r="M345" s="17">
        <f>IF(L345="","",L345-I345)</f>
        <v/>
      </c>
      <c r="N345" s="18" t="n">
        <v>15</v>
      </c>
      <c r="O345" s="19">
        <f>IF(L345="","",L345*N345)</f>
        <v/>
      </c>
      <c r="P345" s="19">
        <f>IF(M345="","",M345*N345)</f>
        <v/>
      </c>
      <c r="Q345" s="8" t="n"/>
      <c r="R345" s="8" t="inlineStr">
        <is>
          <t>Stock a 0</t>
        </is>
      </c>
      <c r="S345" s="9" t="n"/>
    </row>
    <row r="346">
      <c r="A346" s="8" t="n">
        <v>340</v>
      </c>
      <c r="B346" s="8" t="inlineStr">
        <is>
          <t>Matières premières</t>
        </is>
      </c>
      <c r="C346" s="8" t="inlineStr">
        <is>
          <t>Ingrédients &gt; Préparations</t>
        </is>
      </c>
      <c r="D346" s="8" t="inlineStr">
        <is>
          <t>Préparation crème pâtissière</t>
        </is>
      </c>
      <c r="E346" s="8" t="inlineStr">
        <is>
          <t>Générique</t>
        </is>
      </c>
      <c r="F346" s="8" t="inlineStr">
        <is>
          <t>kg</t>
        </is>
      </c>
      <c r="G346" s="8" t="inlineStr"/>
      <c r="H346" s="14" t="n"/>
      <c r="I346" s="14" t="n">
        <v>0</v>
      </c>
      <c r="J346" s="15" t="n"/>
      <c r="K346" s="16" t="n"/>
      <c r="L346" s="17">
        <f>IF(AND(J346="",K346=""),"",IF(H346="",K346,J346*H346+K346))</f>
        <v/>
      </c>
      <c r="M346" s="17">
        <f>IF(L346="","",L346-I346)</f>
        <v/>
      </c>
      <c r="N346" s="18" t="n">
        <v>10.334</v>
      </c>
      <c r="O346" s="19">
        <f>IF(L346="","",L346*N346)</f>
        <v/>
      </c>
      <c r="P346" s="19">
        <f>IF(M346="","",M346*N346)</f>
        <v/>
      </c>
      <c r="Q346" s="8" t="n"/>
      <c r="R346" s="8" t="inlineStr">
        <is>
          <t>Jamais recu</t>
        </is>
      </c>
      <c r="S346" s="9" t="n"/>
    </row>
    <row r="347">
      <c r="A347" s="8" t="n">
        <v>341</v>
      </c>
      <c r="B347" s="8" t="inlineStr">
        <is>
          <t>Matières premières</t>
        </is>
      </c>
      <c r="C347" s="8" t="inlineStr">
        <is>
          <t>Ingrédients &gt; Pâtes &amp; Riz</t>
        </is>
      </c>
      <c r="D347" s="8" t="inlineStr">
        <is>
          <t>Feuilles de pastilla</t>
        </is>
      </c>
      <c r="E347" s="8" t="inlineStr"/>
      <c r="F347" s="8" t="inlineStr">
        <is>
          <t>kg</t>
        </is>
      </c>
      <c r="G347" s="8" t="inlineStr"/>
      <c r="H347" s="14" t="n"/>
      <c r="I347" s="14" t="n">
        <v>0</v>
      </c>
      <c r="J347" s="15" t="n"/>
      <c r="K347" s="16" t="n"/>
      <c r="L347" s="17">
        <f>IF(AND(J347="",K347=""),"",IF(H347="",K347,J347*H347+K347))</f>
        <v/>
      </c>
      <c r="M347" s="17">
        <f>IF(L347="","",L347-I347)</f>
        <v/>
      </c>
      <c r="N347" s="18" t="n">
        <v>20</v>
      </c>
      <c r="O347" s="19">
        <f>IF(L347="","",L347*N347)</f>
        <v/>
      </c>
      <c r="P347" s="19">
        <f>IF(M347="","",M347*N347)</f>
        <v/>
      </c>
      <c r="Q347" s="8" t="n"/>
      <c r="R347" s="8" t="inlineStr">
        <is>
          <t>En stock</t>
        </is>
      </c>
      <c r="S347" s="9" t="n"/>
    </row>
    <row r="348">
      <c r="A348" s="8" t="n">
        <v>342</v>
      </c>
      <c r="B348" s="8" t="inlineStr">
        <is>
          <t>Matières premières</t>
        </is>
      </c>
      <c r="C348" s="8" t="inlineStr">
        <is>
          <t>Ingrédients &gt; Pâtes &amp; Riz</t>
        </is>
      </c>
      <c r="D348" s="8" t="inlineStr">
        <is>
          <t>Konafa</t>
        </is>
      </c>
      <c r="E348" s="8" t="inlineStr">
        <is>
          <t>Générique</t>
        </is>
      </c>
      <c r="F348" s="8" t="inlineStr">
        <is>
          <t>kg</t>
        </is>
      </c>
      <c r="G348" s="8" t="inlineStr"/>
      <c r="H348" s="14" t="n"/>
      <c r="I348" s="14" t="n">
        <v>0</v>
      </c>
      <c r="J348" s="15" t="n"/>
      <c r="K348" s="16" t="n"/>
      <c r="L348" s="17">
        <f>IF(AND(J348="",K348=""),"",IF(H348="",K348,J348*H348+K348))</f>
        <v/>
      </c>
      <c r="M348" s="17">
        <f>IF(L348="","",L348-I348)</f>
        <v/>
      </c>
      <c r="N348" s="18" t="n">
        <v>30</v>
      </c>
      <c r="O348" s="19">
        <f>IF(L348="","",L348*N348)</f>
        <v/>
      </c>
      <c r="P348" s="19">
        <f>IF(M348="","",M348*N348)</f>
        <v/>
      </c>
      <c r="Q348" s="8" t="n"/>
      <c r="R348" s="8" t="inlineStr">
        <is>
          <t>En stock</t>
        </is>
      </c>
      <c r="S348" s="9" t="n"/>
    </row>
    <row r="349">
      <c r="A349" s="8" t="n">
        <v>343</v>
      </c>
      <c r="B349" s="8" t="inlineStr">
        <is>
          <t>Matières premières</t>
        </is>
      </c>
      <c r="C349" s="8" t="inlineStr">
        <is>
          <t>Ingrédients &gt; Pâtes &amp; Riz</t>
        </is>
      </c>
      <c r="D349" s="8" t="inlineStr">
        <is>
          <t>Pate amande</t>
        </is>
      </c>
      <c r="E349" s="8" t="inlineStr"/>
      <c r="F349" s="8" t="inlineStr">
        <is>
          <t>kg</t>
        </is>
      </c>
      <c r="G349" s="8" t="inlineStr"/>
      <c r="H349" s="14" t="n"/>
      <c r="I349" s="14" t="n">
        <v>0</v>
      </c>
      <c r="J349" s="15" t="n"/>
      <c r="K349" s="16" t="n"/>
      <c r="L349" s="17">
        <f>IF(AND(J349="",K349=""),"",IF(H349="",K349,J349*H349+K349))</f>
        <v/>
      </c>
      <c r="M349" s="17">
        <f>IF(L349="","",L349-I349)</f>
        <v/>
      </c>
      <c r="N349" s="18" t="n">
        <v>60</v>
      </c>
      <c r="O349" s="19">
        <f>IF(L349="","",L349*N349)</f>
        <v/>
      </c>
      <c r="P349" s="19">
        <f>IF(M349="","",M349*N349)</f>
        <v/>
      </c>
      <c r="Q349" s="8" t="n"/>
      <c r="R349" s="8" t="inlineStr">
        <is>
          <t>En stock</t>
        </is>
      </c>
      <c r="S349" s="9" t="n"/>
    </row>
    <row r="350">
      <c r="A350" s="8" t="n">
        <v>344</v>
      </c>
      <c r="B350" s="8" t="inlineStr">
        <is>
          <t>Matières premières</t>
        </is>
      </c>
      <c r="C350" s="8" t="inlineStr">
        <is>
          <t>Ingrédients &gt; Pâtes &amp; Riz</t>
        </is>
      </c>
      <c r="D350" s="8" t="inlineStr">
        <is>
          <t>Pate de dattes</t>
        </is>
      </c>
      <c r="E350" s="8" t="inlineStr"/>
      <c r="F350" s="8" t="inlineStr">
        <is>
          <t>kg</t>
        </is>
      </c>
      <c r="G350" s="8" t="inlineStr"/>
      <c r="H350" s="14" t="n"/>
      <c r="I350" s="14" t="n">
        <v>0</v>
      </c>
      <c r="J350" s="15" t="n"/>
      <c r="K350" s="16" t="n"/>
      <c r="L350" s="17">
        <f>IF(AND(J350="",K350=""),"",IF(H350="",K350,J350*H350+K350))</f>
        <v/>
      </c>
      <c r="M350" s="17">
        <f>IF(L350="","",L350-I350)</f>
        <v/>
      </c>
      <c r="N350" s="18" t="n">
        <v>20</v>
      </c>
      <c r="O350" s="19">
        <f>IF(L350="","",L350*N350)</f>
        <v/>
      </c>
      <c r="P350" s="19">
        <f>IF(M350="","",M350*N350)</f>
        <v/>
      </c>
      <c r="Q350" s="8" t="n"/>
      <c r="R350" s="8" t="inlineStr">
        <is>
          <t>En stock</t>
        </is>
      </c>
      <c r="S350" s="9" t="n"/>
    </row>
    <row r="351">
      <c r="A351" s="8" t="n">
        <v>345</v>
      </c>
      <c r="B351" s="8" t="inlineStr">
        <is>
          <t>Matières premières</t>
        </is>
      </c>
      <c r="C351" s="8" t="inlineStr">
        <is>
          <t>Ingrédients &gt; Pâtes &amp; Riz</t>
        </is>
      </c>
      <c r="D351" s="8" t="inlineStr">
        <is>
          <t>Pâte blanc</t>
        </is>
      </c>
      <c r="E351" s="8" t="inlineStr"/>
      <c r="F351" s="8" t="inlineStr">
        <is>
          <t>unit</t>
        </is>
      </c>
      <c r="G351" s="8" t="inlineStr"/>
      <c r="H351" s="14" t="n"/>
      <c r="I351" s="14" t="n">
        <v>0</v>
      </c>
      <c r="J351" s="15" t="n"/>
      <c r="K351" s="16" t="n"/>
      <c r="L351" s="17">
        <f>IF(AND(J351="",K351=""),"",IF(H351="",K351,J351*H351+K351))</f>
        <v/>
      </c>
      <c r="M351" s="17">
        <f>IF(L351="","",L351-I351)</f>
        <v/>
      </c>
      <c r="N351" s="18" t="n">
        <v>60</v>
      </c>
      <c r="O351" s="19">
        <f>IF(L351="","",L351*N351)</f>
        <v/>
      </c>
      <c r="P351" s="19">
        <f>IF(M351="","",M351*N351)</f>
        <v/>
      </c>
      <c r="Q351" s="8" t="n"/>
      <c r="R351" s="8" t="inlineStr">
        <is>
          <t>Stock a 0</t>
        </is>
      </c>
      <c r="S351" s="9" t="n"/>
    </row>
    <row r="352">
      <c r="A352" s="8" t="n">
        <v>346</v>
      </c>
      <c r="B352" s="8" t="inlineStr">
        <is>
          <t>Matières premières</t>
        </is>
      </c>
      <c r="C352" s="8" t="inlineStr">
        <is>
          <t>Ingrédients &gt; Pâtes &amp; Riz</t>
        </is>
      </c>
      <c r="D352" s="8" t="inlineStr">
        <is>
          <t>Pâte de pistache</t>
        </is>
      </c>
      <c r="E352" s="8" t="inlineStr"/>
      <c r="F352" s="8" t="inlineStr">
        <is>
          <t>g</t>
        </is>
      </c>
      <c r="G352" s="8" t="inlineStr"/>
      <c r="H352" s="14" t="n"/>
      <c r="I352" s="14" t="n">
        <v>0</v>
      </c>
      <c r="J352" s="15" t="n"/>
      <c r="K352" s="16" t="n"/>
      <c r="L352" s="17">
        <f>IF(AND(J352="",K352=""),"",IF(H352="",K352,J352*H352+K352))</f>
        <v/>
      </c>
      <c r="M352" s="17">
        <f>IF(L352="","",L352-I352)</f>
        <v/>
      </c>
      <c r="N352" s="18" t="n">
        <v>0</v>
      </c>
      <c r="O352" s="19">
        <f>IF(L352="","",L352*N352)</f>
        <v/>
      </c>
      <c r="P352" s="19">
        <f>IF(M352="","",M352*N352)</f>
        <v/>
      </c>
      <c r="Q352" s="8" t="n"/>
      <c r="R352" s="8" t="inlineStr">
        <is>
          <t>Jamais recu</t>
        </is>
      </c>
      <c r="S352" s="9" t="n"/>
    </row>
    <row r="353">
      <c r="A353" s="8" t="n">
        <v>347</v>
      </c>
      <c r="B353" s="8" t="inlineStr">
        <is>
          <t>Matières premières</t>
        </is>
      </c>
      <c r="C353" s="8" t="inlineStr">
        <is>
          <t>Ingrédients &gt; Pâtes &amp; Riz</t>
        </is>
      </c>
      <c r="D353" s="8" t="inlineStr">
        <is>
          <t>Pâte noir</t>
        </is>
      </c>
      <c r="E353" s="8" t="inlineStr"/>
      <c r="F353" s="8" t="inlineStr">
        <is>
          <t>unit</t>
        </is>
      </c>
      <c r="G353" s="8" t="inlineStr"/>
      <c r="H353" s="14" t="n"/>
      <c r="I353" s="14" t="n">
        <v>0</v>
      </c>
      <c r="J353" s="15" t="n"/>
      <c r="K353" s="16" t="n"/>
      <c r="L353" s="17">
        <f>IF(AND(J353="",K353=""),"",IF(H353="",K353,J353*H353+K353))</f>
        <v/>
      </c>
      <c r="M353" s="17">
        <f>IF(L353="","",L353-I353)</f>
        <v/>
      </c>
      <c r="N353" s="18" t="n">
        <v>70</v>
      </c>
      <c r="O353" s="19">
        <f>IF(L353="","",L353*N353)</f>
        <v/>
      </c>
      <c r="P353" s="19">
        <f>IF(M353="","",M353*N353)</f>
        <v/>
      </c>
      <c r="Q353" s="8" t="n"/>
      <c r="R353" s="8" t="inlineStr">
        <is>
          <t>Stock a 0</t>
        </is>
      </c>
      <c r="S353" s="9" t="n"/>
    </row>
    <row r="354">
      <c r="A354" s="8" t="n">
        <v>348</v>
      </c>
      <c r="B354" s="8" t="inlineStr">
        <is>
          <t>Matières premières</t>
        </is>
      </c>
      <c r="C354" s="8" t="inlineStr">
        <is>
          <t>Ingrédients &gt; Pâtes &amp; Riz</t>
        </is>
      </c>
      <c r="D354" s="8" t="inlineStr">
        <is>
          <t>Vermicelle de riz</t>
        </is>
      </c>
      <c r="E354" s="8" t="inlineStr">
        <is>
          <t>Générique</t>
        </is>
      </c>
      <c r="F354" s="8" t="inlineStr">
        <is>
          <t>kg</t>
        </is>
      </c>
      <c r="G354" s="8" t="inlineStr"/>
      <c r="H354" s="14" t="n"/>
      <c r="I354" s="14" t="n">
        <v>0</v>
      </c>
      <c r="J354" s="15" t="n"/>
      <c r="K354" s="16" t="n"/>
      <c r="L354" s="17">
        <f>IF(AND(J354="",K354=""),"",IF(H354="",K354,J354*H354+K354))</f>
        <v/>
      </c>
      <c r="M354" s="17">
        <f>IF(L354="","",L354-I354)</f>
        <v/>
      </c>
      <c r="N354" s="18" t="n">
        <v>34.587</v>
      </c>
      <c r="O354" s="19">
        <f>IF(L354="","",L354*N354)</f>
        <v/>
      </c>
      <c r="P354" s="19">
        <f>IF(M354="","",M354*N354)</f>
        <v/>
      </c>
      <c r="Q354" s="8" t="n"/>
      <c r="R354" s="8" t="inlineStr">
        <is>
          <t>Jamais recu</t>
        </is>
      </c>
      <c r="S354" s="9" t="n"/>
    </row>
    <row r="355">
      <c r="A355" s="8" t="n">
        <v>349</v>
      </c>
      <c r="B355" s="8" t="inlineStr">
        <is>
          <t>Matières premières</t>
        </is>
      </c>
      <c r="C355" s="8" t="inlineStr">
        <is>
          <t>Ingrédients &gt; Sauces &amp; Condiments</t>
        </is>
      </c>
      <c r="D355" s="8" t="inlineStr">
        <is>
          <t>Ketchup</t>
        </is>
      </c>
      <c r="E355" s="8" t="inlineStr">
        <is>
          <t>Star</t>
        </is>
      </c>
      <c r="F355" s="8" t="inlineStr">
        <is>
          <t>kg</t>
        </is>
      </c>
      <c r="G355" s="8" t="inlineStr"/>
      <c r="H355" s="14" t="n"/>
      <c r="I355" s="14" t="n">
        <v>0</v>
      </c>
      <c r="J355" s="15" t="n"/>
      <c r="K355" s="16" t="n"/>
      <c r="L355" s="17">
        <f>IF(AND(J355="",K355=""),"",IF(H355="",K355,J355*H355+K355))</f>
        <v/>
      </c>
      <c r="M355" s="17">
        <f>IF(L355="","",L355-I355)</f>
        <v/>
      </c>
      <c r="N355" s="18" t="n">
        <v>9.585000000000001</v>
      </c>
      <c r="O355" s="19">
        <f>IF(L355="","",L355*N355)</f>
        <v/>
      </c>
      <c r="P355" s="19">
        <f>IF(M355="","",M355*N355)</f>
        <v/>
      </c>
      <c r="Q355" s="8" t="n"/>
      <c r="R355" s="8" t="inlineStr">
        <is>
          <t>Jamais recu</t>
        </is>
      </c>
      <c r="S355" s="9" t="n"/>
    </row>
    <row r="356">
      <c r="A356" s="8" t="n">
        <v>350</v>
      </c>
      <c r="B356" s="8" t="inlineStr">
        <is>
          <t>Matières premières</t>
        </is>
      </c>
      <c r="C356" s="8" t="inlineStr">
        <is>
          <t>Ingrédients &gt; Sauces &amp; Condiments</t>
        </is>
      </c>
      <c r="D356" s="8" t="inlineStr">
        <is>
          <t>Mayonnaise bidon</t>
        </is>
      </c>
      <c r="E356" s="8" t="inlineStr">
        <is>
          <t>Générique</t>
        </is>
      </c>
      <c r="F356" s="8" t="inlineStr">
        <is>
          <t>l</t>
        </is>
      </c>
      <c r="G356" s="8" t="inlineStr"/>
      <c r="H356" s="14" t="n"/>
      <c r="I356" s="14" t="n">
        <v>0</v>
      </c>
      <c r="J356" s="15" t="n"/>
      <c r="K356" s="16" t="n"/>
      <c r="L356" s="17">
        <f>IF(AND(J356="",K356=""),"",IF(H356="",K356,J356*H356+K356))</f>
        <v/>
      </c>
      <c r="M356" s="17">
        <f>IF(L356="","",L356-I356)</f>
        <v/>
      </c>
      <c r="N356" s="18" t="n">
        <v>11</v>
      </c>
      <c r="O356" s="19">
        <f>IF(L356="","",L356*N356)</f>
        <v/>
      </c>
      <c r="P356" s="19">
        <f>IF(M356="","",M356*N356)</f>
        <v/>
      </c>
      <c r="Q356" s="8" t="n"/>
      <c r="R356" s="8" t="inlineStr">
        <is>
          <t>Stock a 0</t>
        </is>
      </c>
      <c r="S356" s="9" t="n"/>
    </row>
    <row r="357">
      <c r="A357" s="8" t="n">
        <v>351</v>
      </c>
      <c r="B357" s="8" t="inlineStr">
        <is>
          <t>Matières premières</t>
        </is>
      </c>
      <c r="C357" s="8" t="inlineStr">
        <is>
          <t>Ingrédients &gt; Sauces &amp; Condiments</t>
        </is>
      </c>
      <c r="D357" s="8" t="inlineStr">
        <is>
          <t>Sauce  tomate ola</t>
        </is>
      </c>
      <c r="E357" s="8" t="inlineStr"/>
      <c r="F357" s="8" t="inlineStr">
        <is>
          <t>unit</t>
        </is>
      </c>
      <c r="G357" s="8" t="inlineStr"/>
      <c r="H357" s="14" t="n"/>
      <c r="I357" s="14" t="n">
        <v>0</v>
      </c>
      <c r="J357" s="15" t="n"/>
      <c r="K357" s="16" t="n"/>
      <c r="L357" s="17">
        <f>IF(AND(J357="",K357=""),"",IF(H357="",K357,J357*H357+K357))</f>
        <v/>
      </c>
      <c r="M357" s="17">
        <f>IF(L357="","",L357-I357)</f>
        <v/>
      </c>
      <c r="N357" s="18" t="n">
        <v>12</v>
      </c>
      <c r="O357" s="19">
        <f>IF(L357="","",L357*N357)</f>
        <v/>
      </c>
      <c r="P357" s="19">
        <f>IF(M357="","",M357*N357)</f>
        <v/>
      </c>
      <c r="Q357" s="8" t="n"/>
      <c r="R357" s="8" t="inlineStr">
        <is>
          <t>En stock</t>
        </is>
      </c>
      <c r="S357" s="9" t="n"/>
    </row>
    <row r="358">
      <c r="A358" s="8" t="n">
        <v>352</v>
      </c>
      <c r="B358" s="8" t="inlineStr">
        <is>
          <t>Matières premières</t>
        </is>
      </c>
      <c r="C358" s="8" t="inlineStr">
        <is>
          <t>Ingrédients &gt; Sauces &amp; Condiments</t>
        </is>
      </c>
      <c r="D358" s="8" t="inlineStr">
        <is>
          <t>Sauce Algérienne</t>
        </is>
      </c>
      <c r="E358" s="8" t="inlineStr">
        <is>
          <t>Gourmes</t>
        </is>
      </c>
      <c r="F358" s="8" t="inlineStr">
        <is>
          <t>l</t>
        </is>
      </c>
      <c r="G358" s="8" t="inlineStr"/>
      <c r="H358" s="14" t="n"/>
      <c r="I358" s="14" t="n">
        <v>0</v>
      </c>
      <c r="J358" s="15" t="n"/>
      <c r="K358" s="16" t="n"/>
      <c r="L358" s="17">
        <f>IF(AND(J358="",K358=""),"",IF(H358="",K358,J358*H358+K358))</f>
        <v/>
      </c>
      <c r="M358" s="17">
        <f>IF(L358="","",L358-I358)</f>
        <v/>
      </c>
      <c r="N358" s="18" t="n">
        <v>32.4324</v>
      </c>
      <c r="O358" s="19">
        <f>IF(L358="","",L358*N358)</f>
        <v/>
      </c>
      <c r="P358" s="19">
        <f>IF(M358="","",M358*N358)</f>
        <v/>
      </c>
      <c r="Q358" s="8" t="n"/>
      <c r="R358" s="8" t="inlineStr">
        <is>
          <t>Jamais recu</t>
        </is>
      </c>
      <c r="S358" s="9" t="n"/>
    </row>
    <row r="359">
      <c r="A359" s="8" t="n">
        <v>353</v>
      </c>
      <c r="B359" s="8" t="inlineStr">
        <is>
          <t>Matières premières</t>
        </is>
      </c>
      <c r="C359" s="8" t="inlineStr">
        <is>
          <t>Ingrédients &gt; Sauces &amp; Condiments</t>
        </is>
      </c>
      <c r="D359" s="8" t="inlineStr">
        <is>
          <t>Sauce Big Burger</t>
        </is>
      </c>
      <c r="E359" s="8" t="inlineStr">
        <is>
          <t>Gourmes</t>
        </is>
      </c>
      <c r="F359" s="8" t="inlineStr">
        <is>
          <t>l</t>
        </is>
      </c>
      <c r="G359" s="8" t="inlineStr"/>
      <c r="H359" s="14" t="n"/>
      <c r="I359" s="14" t="n">
        <v>0</v>
      </c>
      <c r="J359" s="15" t="n"/>
      <c r="K359" s="16" t="n"/>
      <c r="L359" s="17">
        <f>IF(AND(J359="",K359=""),"",IF(H359="",K359,J359*H359+K359))</f>
        <v/>
      </c>
      <c r="M359" s="17">
        <f>IF(L359="","",L359-I359)</f>
        <v/>
      </c>
      <c r="N359" s="18" t="n">
        <v>32.4324</v>
      </c>
      <c r="O359" s="19">
        <f>IF(L359="","",L359*N359)</f>
        <v/>
      </c>
      <c r="P359" s="19">
        <f>IF(M359="","",M359*N359)</f>
        <v/>
      </c>
      <c r="Q359" s="8" t="n"/>
      <c r="R359" s="8" t="inlineStr">
        <is>
          <t>Jamais recu</t>
        </is>
      </c>
      <c r="S359" s="9" t="n"/>
    </row>
    <row r="360">
      <c r="A360" s="8" t="n">
        <v>354</v>
      </c>
      <c r="B360" s="8" t="inlineStr">
        <is>
          <t>Matières premières</t>
        </is>
      </c>
      <c r="C360" s="8" t="inlineStr">
        <is>
          <t>Ingrédients &gt; Sauces &amp; Condiments</t>
        </is>
      </c>
      <c r="D360" s="8" t="inlineStr">
        <is>
          <t>Sauce soja supérieure light</t>
        </is>
      </c>
      <c r="E360" s="8" t="inlineStr">
        <is>
          <t>Générique</t>
        </is>
      </c>
      <c r="F360" s="8" t="inlineStr">
        <is>
          <t>l</t>
        </is>
      </c>
      <c r="G360" s="8" t="inlineStr"/>
      <c r="H360" s="14" t="n"/>
      <c r="I360" s="14" t="n">
        <v>0</v>
      </c>
      <c r="J360" s="15" t="n"/>
      <c r="K360" s="16" t="n"/>
      <c r="L360" s="17">
        <f>IF(AND(J360="",K360=""),"",IF(H360="",K360,J360*H360+K360))</f>
        <v/>
      </c>
      <c r="M360" s="17">
        <f>IF(L360="","",L360-I360)</f>
        <v/>
      </c>
      <c r="N360" s="18" t="n">
        <v>18.125</v>
      </c>
      <c r="O360" s="19">
        <f>IF(L360="","",L360*N360)</f>
        <v/>
      </c>
      <c r="P360" s="19">
        <f>IF(M360="","",M360*N360)</f>
        <v/>
      </c>
      <c r="Q360" s="8" t="n"/>
      <c r="R360" s="8" t="inlineStr">
        <is>
          <t>Jamais recu</t>
        </is>
      </c>
      <c r="S360" s="9" t="n"/>
    </row>
    <row r="361">
      <c r="A361" s="8" t="n">
        <v>355</v>
      </c>
      <c r="B361" s="8" t="inlineStr">
        <is>
          <t>Matières premières</t>
        </is>
      </c>
      <c r="C361" s="8" t="inlineStr">
        <is>
          <t>Ingrédients &gt; Sel &amp; Vinaigre</t>
        </is>
      </c>
      <c r="D361" s="8" t="inlineStr">
        <is>
          <t>Sel de table fin</t>
        </is>
      </c>
      <c r="E361" s="8" t="inlineStr">
        <is>
          <t>Salimar</t>
        </is>
      </c>
      <c r="F361" s="8" t="inlineStr">
        <is>
          <t>kg</t>
        </is>
      </c>
      <c r="G361" s="8" t="inlineStr"/>
      <c r="H361" s="14" t="n"/>
      <c r="I361" s="14" t="n">
        <v>0</v>
      </c>
      <c r="J361" s="15" t="n"/>
      <c r="K361" s="16" t="n"/>
      <c r="L361" s="17">
        <f>IF(AND(J361="",K361=""),"",IF(H361="",K361,J361*H361+K361))</f>
        <v/>
      </c>
      <c r="M361" s="17">
        <f>IF(L361="","",L361-I361)</f>
        <v/>
      </c>
      <c r="N361" s="18" t="n">
        <v>1</v>
      </c>
      <c r="O361" s="19">
        <f>IF(L361="","",L361*N361)</f>
        <v/>
      </c>
      <c r="P361" s="19">
        <f>IF(M361="","",M361*N361)</f>
        <v/>
      </c>
      <c r="Q361" s="8" t="n"/>
      <c r="R361" s="8" t="inlineStr">
        <is>
          <t>En stock</t>
        </is>
      </c>
      <c r="S361" s="9" t="n"/>
    </row>
    <row r="362">
      <c r="A362" s="8" t="n">
        <v>356</v>
      </c>
      <c r="B362" s="8" t="inlineStr">
        <is>
          <t>Matières premières</t>
        </is>
      </c>
      <c r="C362" s="8" t="inlineStr">
        <is>
          <t>Ingrédients &gt; Sel &amp; Vinaigre</t>
        </is>
      </c>
      <c r="D362" s="8" t="inlineStr">
        <is>
          <t>Vinaigre blanc</t>
        </is>
      </c>
      <c r="E362" s="8" t="inlineStr">
        <is>
          <t>Star</t>
        </is>
      </c>
      <c r="F362" s="8" t="inlineStr">
        <is>
          <t>l</t>
        </is>
      </c>
      <c r="G362" s="8" t="inlineStr"/>
      <c r="H362" s="14" t="n"/>
      <c r="I362" s="14" t="n">
        <v>0</v>
      </c>
      <c r="J362" s="15" t="n"/>
      <c r="K362" s="16" t="n"/>
      <c r="L362" s="17">
        <f>IF(AND(J362="",K362=""),"",IF(H362="",K362,J362*H362+K362))</f>
        <v/>
      </c>
      <c r="M362" s="17">
        <f>IF(L362="","",L362-I362)</f>
        <v/>
      </c>
      <c r="N362" s="18" t="n">
        <v>10</v>
      </c>
      <c r="O362" s="19">
        <f>IF(L362="","",L362*N362)</f>
        <v/>
      </c>
      <c r="P362" s="19">
        <f>IF(M362="","",M362*N362)</f>
        <v/>
      </c>
      <c r="Q362" s="8" t="n"/>
      <c r="R362" s="8" t="inlineStr">
        <is>
          <t>Jamais recu</t>
        </is>
      </c>
      <c r="S362" s="9" t="n"/>
    </row>
    <row r="363">
      <c r="A363" s="8" t="n">
        <v>357</v>
      </c>
      <c r="B363" s="8" t="inlineStr">
        <is>
          <t>Matières premières</t>
        </is>
      </c>
      <c r="C363" s="8" t="inlineStr">
        <is>
          <t>Ingrédients &gt; Sucres</t>
        </is>
      </c>
      <c r="D363" s="8" t="inlineStr">
        <is>
          <t>Fondant pâtissier</t>
        </is>
      </c>
      <c r="E363" s="8" t="inlineStr">
        <is>
          <t>Générique</t>
        </is>
      </c>
      <c r="F363" s="8" t="inlineStr">
        <is>
          <t>kg</t>
        </is>
      </c>
      <c r="G363" s="8" t="inlineStr"/>
      <c r="H363" s="14" t="n"/>
      <c r="I363" s="14" t="n">
        <v>0</v>
      </c>
      <c r="J363" s="15" t="n"/>
      <c r="K363" s="30" t="n">
        <v>11</v>
      </c>
      <c r="L363" s="17">
        <f>IF(AND(J363="",K363=""),"",IF(H363="",K363,J363*H363+K363))</f>
        <v/>
      </c>
      <c r="M363" s="17">
        <f>IF(L363="","",L363-I363)</f>
        <v/>
      </c>
      <c r="N363" s="18" t="n">
        <v>10.83</v>
      </c>
      <c r="O363" s="19">
        <f>IF(L363="","",L363*N363)</f>
        <v/>
      </c>
      <c r="P363" s="19">
        <f>IF(M363="","",M363*N363)</f>
        <v/>
      </c>
      <c r="Q363" s="8" t="n"/>
      <c r="R363" s="8" t="inlineStr">
        <is>
          <t>En stock</t>
        </is>
      </c>
      <c r="S363" s="9" t="n"/>
    </row>
    <row r="364">
      <c r="A364" s="8" t="n">
        <v>358</v>
      </c>
      <c r="B364" s="8" t="inlineStr">
        <is>
          <t>Matières premières</t>
        </is>
      </c>
      <c r="C364" s="8" t="inlineStr">
        <is>
          <t>Ingrédients &gt; Sucres</t>
        </is>
      </c>
      <c r="D364" s="8" t="inlineStr">
        <is>
          <t>Miel</t>
        </is>
      </c>
      <c r="E364" s="8" t="inlineStr"/>
      <c r="F364" s="8" t="inlineStr">
        <is>
          <t>unit</t>
        </is>
      </c>
      <c r="G364" s="8" t="inlineStr"/>
      <c r="H364" s="14" t="n"/>
      <c r="I364" s="14" t="n">
        <v>0</v>
      </c>
      <c r="J364" s="15" t="n"/>
      <c r="K364" s="16" t="n"/>
      <c r="L364" s="17">
        <f>IF(AND(J364="",K364=""),"",IF(H364="",K364,J364*H364+K364))</f>
        <v/>
      </c>
      <c r="M364" s="17">
        <f>IF(L364="","",L364-I364)</f>
        <v/>
      </c>
      <c r="N364" s="18" t="n">
        <v>5</v>
      </c>
      <c r="O364" s="19">
        <f>IF(L364="","",L364*N364)</f>
        <v/>
      </c>
      <c r="P364" s="19">
        <f>IF(M364="","",M364*N364)</f>
        <v/>
      </c>
      <c r="Q364" s="8" t="n"/>
      <c r="R364" s="8" t="inlineStr">
        <is>
          <t>Stock a 0</t>
        </is>
      </c>
      <c r="S364" s="9" t="n"/>
    </row>
    <row r="365">
      <c r="A365" s="8" t="n">
        <v>359</v>
      </c>
      <c r="B365" s="8" t="inlineStr">
        <is>
          <t>Matières premières</t>
        </is>
      </c>
      <c r="C365" s="8" t="inlineStr">
        <is>
          <t>Ingrédients &gt; Sucres</t>
        </is>
      </c>
      <c r="D365" s="8" t="inlineStr">
        <is>
          <t>Neige éternelle</t>
        </is>
      </c>
      <c r="E365" s="8" t="inlineStr">
        <is>
          <t>DGF</t>
        </is>
      </c>
      <c r="F365" s="8" t="inlineStr">
        <is>
          <t>kg</t>
        </is>
      </c>
      <c r="G365" s="8" t="inlineStr"/>
      <c r="H365" s="14" t="n"/>
      <c r="I365" s="14" t="n">
        <v>0</v>
      </c>
      <c r="J365" s="15" t="n"/>
      <c r="K365" s="16" t="n"/>
      <c r="L365" s="17">
        <f>IF(AND(J365="",K365=""),"",IF(H365="",K365,J365*H365+K365))</f>
        <v/>
      </c>
      <c r="M365" s="17">
        <f>IF(L365="","",L365-I365)</f>
        <v/>
      </c>
      <c r="N365" s="18" t="n">
        <v>45</v>
      </c>
      <c r="O365" s="19">
        <f>IF(L365="","",L365*N365)</f>
        <v/>
      </c>
      <c r="P365" s="19">
        <f>IF(M365="","",M365*N365)</f>
        <v/>
      </c>
      <c r="Q365" s="8" t="n"/>
      <c r="R365" s="8" t="inlineStr">
        <is>
          <t>En stock</t>
        </is>
      </c>
      <c r="S365" s="9" t="n"/>
    </row>
    <row r="366">
      <c r="A366" s="8" t="n">
        <v>360</v>
      </c>
      <c r="B366" s="8" t="inlineStr">
        <is>
          <t>Matières premières</t>
        </is>
      </c>
      <c r="C366" s="8" t="inlineStr">
        <is>
          <t>Ingrédients &gt; Sucres</t>
        </is>
      </c>
      <c r="D366" s="8" t="inlineStr">
        <is>
          <t>Sirop de glucose</t>
        </is>
      </c>
      <c r="E366" s="8" t="inlineStr">
        <is>
          <t>Générique</t>
        </is>
      </c>
      <c r="F366" s="8" t="inlineStr">
        <is>
          <t>kg</t>
        </is>
      </c>
      <c r="G366" s="8" t="inlineStr"/>
      <c r="H366" s="14" t="n"/>
      <c r="I366" s="14" t="n">
        <v>0</v>
      </c>
      <c r="J366" s="15" t="n"/>
      <c r="K366" s="30" t="n">
        <v>7</v>
      </c>
      <c r="L366" s="17">
        <f>IF(AND(J366="",K366=""),"",IF(H366="",K366,J366*H366+K366))</f>
        <v/>
      </c>
      <c r="M366" s="17">
        <f>IF(L366="","",L366-I366)</f>
        <v/>
      </c>
      <c r="N366" s="18" t="n">
        <v>20</v>
      </c>
      <c r="O366" s="19">
        <f>IF(L366="","",L366*N366)</f>
        <v/>
      </c>
      <c r="P366" s="19">
        <f>IF(M366="","",M366*N366)</f>
        <v/>
      </c>
      <c r="Q366" s="8" t="n"/>
      <c r="R366" s="8" t="inlineStr">
        <is>
          <t>En stock</t>
        </is>
      </c>
      <c r="S366" s="9" t="inlineStr">
        <is>
          <t>ligne en kg (le doublon en g est ignore)</t>
        </is>
      </c>
    </row>
    <row r="367">
      <c r="A367" s="8" t="n">
        <v>361</v>
      </c>
      <c r="B367" s="8" t="inlineStr">
        <is>
          <t>Matières premières</t>
        </is>
      </c>
      <c r="C367" s="8" t="inlineStr">
        <is>
          <t>Ingrédients &gt; Sucres</t>
        </is>
      </c>
      <c r="D367" s="8" t="inlineStr">
        <is>
          <t>Sucre glace</t>
        </is>
      </c>
      <c r="E367" s="8" t="inlineStr">
        <is>
          <t>Générique</t>
        </is>
      </c>
      <c r="F367" s="8" t="inlineStr">
        <is>
          <t>kg</t>
        </is>
      </c>
      <c r="G367" s="8" t="inlineStr"/>
      <c r="H367" s="14" t="n"/>
      <c r="I367" s="14" t="n">
        <v>0</v>
      </c>
      <c r="J367" s="15" t="n"/>
      <c r="K367" s="30" t="n">
        <v>15</v>
      </c>
      <c r="L367" s="17">
        <f>IF(AND(J367="",K367=""),"",IF(H367="",K367,J367*H367+K367))</f>
        <v/>
      </c>
      <c r="M367" s="17">
        <f>IF(L367="","",L367-I367)</f>
        <v/>
      </c>
      <c r="N367" s="18" t="n">
        <v>7.94</v>
      </c>
      <c r="O367" s="19">
        <f>IF(L367="","",L367*N367)</f>
        <v/>
      </c>
      <c r="P367" s="19">
        <f>IF(M367="","",M367*N367)</f>
        <v/>
      </c>
      <c r="Q367" s="8" t="inlineStr">
        <is>
          <t>2028-06-02</t>
        </is>
      </c>
      <c r="R367" s="8" t="inlineStr">
        <is>
          <t>En stock</t>
        </is>
      </c>
      <c r="S367" s="9" t="n"/>
    </row>
    <row r="368">
      <c r="A368" s="8" t="n">
        <v>362</v>
      </c>
      <c r="B368" s="8" t="inlineStr">
        <is>
          <t>Matières premières</t>
        </is>
      </c>
      <c r="C368" s="8" t="inlineStr">
        <is>
          <t>Ingrédients &gt; Sucres</t>
        </is>
      </c>
      <c r="D368" s="8" t="inlineStr">
        <is>
          <t>Sucre grain CAL 10</t>
        </is>
      </c>
      <c r="E368" s="8" t="inlineStr">
        <is>
          <t>DGF</t>
        </is>
      </c>
      <c r="F368" s="8" t="inlineStr">
        <is>
          <t>kg</t>
        </is>
      </c>
      <c r="G368" s="8" t="inlineStr"/>
      <c r="H368" s="14" t="n"/>
      <c r="I368" s="14" t="n">
        <v>0</v>
      </c>
      <c r="J368" s="15" t="n"/>
      <c r="K368" s="16" t="n"/>
      <c r="L368" s="17">
        <f>IF(AND(J368="",K368=""),"",IF(H368="",K368,J368*H368+K368))</f>
        <v/>
      </c>
      <c r="M368" s="17">
        <f>IF(L368="","",L368-I368)</f>
        <v/>
      </c>
      <c r="N368" s="18" t="n">
        <v>41.5</v>
      </c>
      <c r="O368" s="19">
        <f>IF(L368="","",L368*N368)</f>
        <v/>
      </c>
      <c r="P368" s="19">
        <f>IF(M368="","",M368*N368)</f>
        <v/>
      </c>
      <c r="Q368" s="8" t="n"/>
      <c r="R368" s="8" t="inlineStr">
        <is>
          <t>Jamais recu</t>
        </is>
      </c>
      <c r="S368" s="9" t="n"/>
    </row>
    <row r="369">
      <c r="A369" s="8" t="n">
        <v>363</v>
      </c>
      <c r="B369" s="8" t="inlineStr">
        <is>
          <t>Matières premières</t>
        </is>
      </c>
      <c r="C369" s="8" t="inlineStr">
        <is>
          <t>Ingrédients &gt; Sucres</t>
        </is>
      </c>
      <c r="D369" s="8" t="inlineStr">
        <is>
          <t>Sucre neige</t>
        </is>
      </c>
      <c r="E369" s="8" t="inlineStr"/>
      <c r="F369" s="8" t="inlineStr">
        <is>
          <t>unit</t>
        </is>
      </c>
      <c r="G369" s="8" t="inlineStr"/>
      <c r="H369" s="14" t="n"/>
      <c r="I369" s="14" t="n">
        <v>0</v>
      </c>
      <c r="J369" s="15" t="n"/>
      <c r="K369" s="16" t="n"/>
      <c r="L369" s="17">
        <f>IF(AND(J369="",K369=""),"",IF(H369="",K369,J369*H369+K369))</f>
        <v/>
      </c>
      <c r="M369" s="17">
        <f>IF(L369="","",L369-I369)</f>
        <v/>
      </c>
      <c r="N369" s="18" t="n">
        <v>45</v>
      </c>
      <c r="O369" s="19">
        <f>IF(L369="","",L369*N369)</f>
        <v/>
      </c>
      <c r="P369" s="19">
        <f>IF(M369="","",M369*N369)</f>
        <v/>
      </c>
      <c r="Q369" s="8" t="n"/>
      <c r="R369" s="8" t="inlineStr">
        <is>
          <t>En stock</t>
        </is>
      </c>
      <c r="S369" s="9" t="n"/>
    </row>
    <row r="370">
      <c r="A370" s="8" t="n">
        <v>364</v>
      </c>
      <c r="B370" s="8" t="inlineStr">
        <is>
          <t>Matières premières</t>
        </is>
      </c>
      <c r="C370" s="8" t="inlineStr">
        <is>
          <t>Ingrédients &gt; Sucres</t>
        </is>
      </c>
      <c r="D370" s="8" t="inlineStr">
        <is>
          <t>Sucre semoule</t>
        </is>
      </c>
      <c r="E370" s="8" t="inlineStr"/>
      <c r="F370" s="8" t="inlineStr">
        <is>
          <t>kg</t>
        </is>
      </c>
      <c r="G370" s="8" t="inlineStr"/>
      <c r="H370" s="14" t="n"/>
      <c r="I370" s="14" t="n">
        <v>0</v>
      </c>
      <c r="J370" s="15" t="n"/>
      <c r="K370" s="16" t="n"/>
      <c r="L370" s="17">
        <f>IF(AND(J370="",K370=""),"",IF(H370="",K370,J370*H370+K370))</f>
        <v/>
      </c>
      <c r="M370" s="17">
        <f>IF(L370="","",L370-I370)</f>
        <v/>
      </c>
      <c r="N370" s="18" t="n">
        <v>10.41</v>
      </c>
      <c r="O370" s="19">
        <f>IF(L370="","",L370*N370)</f>
        <v/>
      </c>
      <c r="P370" s="19">
        <f>IF(M370="","",M370*N370)</f>
        <v/>
      </c>
      <c r="Q370" s="8" t="n"/>
      <c r="R370" s="8" t="inlineStr">
        <is>
          <t>En stock</t>
        </is>
      </c>
      <c r="S370" s="9" t="n"/>
    </row>
    <row r="371">
      <c r="A371" s="8" t="n">
        <v>365</v>
      </c>
      <c r="B371" s="8" t="inlineStr">
        <is>
          <t>Matières premières</t>
        </is>
      </c>
      <c r="C371" s="8" t="inlineStr">
        <is>
          <t>Ingrédients &gt; Sucres</t>
        </is>
      </c>
      <c r="D371" s="8" t="inlineStr">
        <is>
          <t>Sucre semoule</t>
        </is>
      </c>
      <c r="E371" s="8" t="inlineStr">
        <is>
          <t>Générique</t>
        </is>
      </c>
      <c r="F371" s="8" t="inlineStr">
        <is>
          <t>kg</t>
        </is>
      </c>
      <c r="G371" s="8" t="inlineStr"/>
      <c r="H371" s="14" t="n"/>
      <c r="I371" s="14" t="n">
        <v>0</v>
      </c>
      <c r="J371" s="15" t="n"/>
      <c r="K371" s="16" t="n"/>
      <c r="L371" s="17">
        <f>IF(AND(J371="",K371=""),"",IF(H371="",K371,J371*H371+K371))</f>
        <v/>
      </c>
      <c r="M371" s="17">
        <f>IF(L371="","",L371-I371)</f>
        <v/>
      </c>
      <c r="N371" s="18" t="n">
        <v>5.5</v>
      </c>
      <c r="O371" s="19">
        <f>IF(L371="","",L371*N371)</f>
        <v/>
      </c>
      <c r="P371" s="19">
        <f>IF(M371="","",M371*N371)</f>
        <v/>
      </c>
      <c r="Q371" s="8" t="n"/>
      <c r="R371" s="8" t="inlineStr">
        <is>
          <t>En stock</t>
        </is>
      </c>
      <c r="S371" s="9" t="n"/>
    </row>
    <row r="372">
      <c r="A372" s="8" t="n">
        <v>366</v>
      </c>
      <c r="B372" s="8" t="inlineStr">
        <is>
          <t>Matières premières</t>
        </is>
      </c>
      <c r="C372" s="8" t="inlineStr">
        <is>
          <t>Ingrédients &gt; Sucres</t>
        </is>
      </c>
      <c r="D372" s="8" t="inlineStr">
        <is>
          <t>Trimoline sucre inverti</t>
        </is>
      </c>
      <c r="E372" s="8" t="inlineStr">
        <is>
          <t>DGF</t>
        </is>
      </c>
      <c r="F372" s="8" t="inlineStr">
        <is>
          <t>kg</t>
        </is>
      </c>
      <c r="G372" s="8" t="inlineStr"/>
      <c r="H372" s="14" t="n"/>
      <c r="I372" s="14" t="n">
        <v>0</v>
      </c>
      <c r="J372" s="15" t="n"/>
      <c r="K372" s="16" t="n"/>
      <c r="L372" s="17">
        <f>IF(AND(J372="",K372=""),"",IF(H372="",K372,J372*H372+K372))</f>
        <v/>
      </c>
      <c r="M372" s="17">
        <f>IF(L372="","",L372-I372)</f>
        <v/>
      </c>
      <c r="N372" s="18" t="n">
        <v>29.5243</v>
      </c>
      <c r="O372" s="19">
        <f>IF(L372="","",L372*N372)</f>
        <v/>
      </c>
      <c r="P372" s="19">
        <f>IF(M372="","",M372*N372)</f>
        <v/>
      </c>
      <c r="Q372" s="8" t="n"/>
      <c r="R372" s="8" t="inlineStr">
        <is>
          <t>Jamais recu</t>
        </is>
      </c>
      <c r="S372" s="9" t="n"/>
    </row>
    <row r="373">
      <c r="A373" s="8" t="n">
        <v>367</v>
      </c>
      <c r="B373" s="8" t="inlineStr">
        <is>
          <t>Matières premières</t>
        </is>
      </c>
      <c r="C373" s="8" t="inlineStr">
        <is>
          <t>Ingrédients &gt; Thon</t>
        </is>
      </c>
      <c r="D373" s="8" t="inlineStr">
        <is>
          <t>Thon tam</t>
        </is>
      </c>
      <c r="E373" s="8" t="inlineStr"/>
      <c r="F373" s="8" t="inlineStr">
        <is>
          <t>unit</t>
        </is>
      </c>
      <c r="G373" s="8" t="inlineStr"/>
      <c r="H373" s="14" t="n"/>
      <c r="I373" s="14" t="n">
        <v>0</v>
      </c>
      <c r="J373" s="15" t="n"/>
      <c r="K373" s="16" t="n"/>
      <c r="L373" s="17">
        <f>IF(AND(J373="",K373=""),"",IF(H373="",K373,J373*H373+K373))</f>
        <v/>
      </c>
      <c r="M373" s="17">
        <f>IF(L373="","",L373-I373)</f>
        <v/>
      </c>
      <c r="N373" s="18" t="n">
        <v>128</v>
      </c>
      <c r="O373" s="19">
        <f>IF(L373="","",L373*N373)</f>
        <v/>
      </c>
      <c r="P373" s="19">
        <f>IF(M373="","",M373*N373)</f>
        <v/>
      </c>
      <c r="Q373" s="8" t="n"/>
      <c r="R373" s="8" t="inlineStr">
        <is>
          <t>En stock</t>
        </is>
      </c>
      <c r="S373" s="9" t="n"/>
    </row>
    <row r="374">
      <c r="A374" s="8" t="n">
        <v>368</v>
      </c>
      <c r="B374" s="8" t="inlineStr">
        <is>
          <t>Matières premières</t>
        </is>
      </c>
      <c r="C374" s="8" t="inlineStr">
        <is>
          <t>Ingrédients &gt; Viandes &amp; Volailles</t>
        </is>
      </c>
      <c r="D374" s="8" t="inlineStr">
        <is>
          <t>Blanc de poulet</t>
        </is>
      </c>
      <c r="E374" s="8" t="inlineStr">
        <is>
          <t>Boucherie locale</t>
        </is>
      </c>
      <c r="F374" s="8" t="inlineStr">
        <is>
          <t>kg</t>
        </is>
      </c>
      <c r="G374" s="8" t="inlineStr"/>
      <c r="H374" s="14" t="n"/>
      <c r="I374" s="14" t="n">
        <v>0</v>
      </c>
      <c r="J374" s="15" t="n"/>
      <c r="K374" s="16" t="n"/>
      <c r="L374" s="17">
        <f>IF(AND(J374="",K374=""),"",IF(H374="",K374,J374*H374+K374))</f>
        <v/>
      </c>
      <c r="M374" s="17">
        <f>IF(L374="","",L374-I374)</f>
        <v/>
      </c>
      <c r="N374" s="18" t="n">
        <v>15</v>
      </c>
      <c r="O374" s="19">
        <f>IF(L374="","",L374*N374)</f>
        <v/>
      </c>
      <c r="P374" s="19">
        <f>IF(M374="","",M374*N374)</f>
        <v/>
      </c>
      <c r="Q374" s="8" t="n"/>
      <c r="R374" s="8" t="inlineStr">
        <is>
          <t>Jamais recu</t>
        </is>
      </c>
      <c r="S374" s="9" t="n"/>
    </row>
    <row r="375">
      <c r="A375" s="8" t="n">
        <v>369</v>
      </c>
      <c r="B375" s="8" t="inlineStr">
        <is>
          <t>Matières premières</t>
        </is>
      </c>
      <c r="C375" s="8" t="inlineStr">
        <is>
          <t>Ingrédients &gt; Viandes &amp; Volailles</t>
        </is>
      </c>
      <c r="D375" s="8" t="inlineStr">
        <is>
          <t>Filet de dinde fume</t>
        </is>
      </c>
      <c r="E375" s="8" t="inlineStr"/>
      <c r="F375" s="8" t="inlineStr">
        <is>
          <t>unit</t>
        </is>
      </c>
      <c r="G375" s="8" t="inlineStr"/>
      <c r="H375" s="14" t="n"/>
      <c r="I375" s="14" t="n">
        <v>0</v>
      </c>
      <c r="J375" s="15" t="n"/>
      <c r="K375" s="16" t="n"/>
      <c r="L375" s="17">
        <f>IF(AND(J375="",K375=""),"",IF(H375="",K375,J375*H375+K375))</f>
        <v/>
      </c>
      <c r="M375" s="17">
        <f>IF(L375="","",L375-I375)</f>
        <v/>
      </c>
      <c r="N375" s="18" t="n">
        <v>10</v>
      </c>
      <c r="O375" s="19">
        <f>IF(L375="","",L375*N375)</f>
        <v/>
      </c>
      <c r="P375" s="19">
        <f>IF(M375="","",M375*N375)</f>
        <v/>
      </c>
      <c r="Q375" s="8" t="n"/>
      <c r="R375" s="8" t="inlineStr">
        <is>
          <t>En stock</t>
        </is>
      </c>
      <c r="S375" s="9" t="n"/>
    </row>
    <row r="376">
      <c r="A376" s="8" t="n">
        <v>370</v>
      </c>
      <c r="B376" s="8" t="inlineStr">
        <is>
          <t>Matières premières</t>
        </is>
      </c>
      <c r="C376" s="8" t="inlineStr">
        <is>
          <t>Ingrédients &gt; Viandes &amp; Volailles</t>
        </is>
      </c>
      <c r="D376" s="8" t="inlineStr">
        <is>
          <t>Filet de dinde fume</t>
        </is>
      </c>
      <c r="E376" s="8" t="inlineStr"/>
      <c r="F376" s="8" t="inlineStr">
        <is>
          <t>kg</t>
        </is>
      </c>
      <c r="G376" s="8" t="inlineStr"/>
      <c r="H376" s="14" t="n"/>
      <c r="I376" s="14" t="n">
        <v>0</v>
      </c>
      <c r="J376" s="15" t="n"/>
      <c r="K376" s="16" t="n"/>
      <c r="L376" s="17">
        <f>IF(AND(J376="",K376=""),"",IF(H376="",K376,J376*H376+K376))</f>
        <v/>
      </c>
      <c r="M376" s="17">
        <f>IF(L376="","",L376-I376)</f>
        <v/>
      </c>
      <c r="N376" s="18" t="n">
        <v>64</v>
      </c>
      <c r="O376" s="19">
        <f>IF(L376="","",L376*N376)</f>
        <v/>
      </c>
      <c r="P376" s="19">
        <f>IF(M376="","",M376*N376)</f>
        <v/>
      </c>
      <c r="Q376" s="8" t="n"/>
      <c r="R376" s="8" t="inlineStr">
        <is>
          <t>En stock</t>
        </is>
      </c>
      <c r="S376" s="9" t="n"/>
    </row>
    <row r="377">
      <c r="A377" s="8" t="n">
        <v>371</v>
      </c>
      <c r="B377" s="8" t="inlineStr">
        <is>
          <t>Matières premières</t>
        </is>
      </c>
      <c r="C377" s="8" t="inlineStr">
        <is>
          <t>Ingrédients &gt; Viandes &amp; Volailles</t>
        </is>
      </c>
      <c r="D377" s="8" t="inlineStr">
        <is>
          <t>Filet de poulet</t>
        </is>
      </c>
      <c r="E377" s="8" t="inlineStr"/>
      <c r="F377" s="8" t="inlineStr">
        <is>
          <t>kg</t>
        </is>
      </c>
      <c r="G377" s="8" t="inlineStr"/>
      <c r="H377" s="14" t="n"/>
      <c r="I377" s="14" t="n">
        <v>0</v>
      </c>
      <c r="J377" s="15" t="n"/>
      <c r="K377" s="16" t="n"/>
      <c r="L377" s="17">
        <f>IF(AND(J377="",K377=""),"",IF(H377="",K377,J377*H377+K377))</f>
        <v/>
      </c>
      <c r="M377" s="17">
        <f>IF(L377="","",L377-I377)</f>
        <v/>
      </c>
      <c r="N377" s="18" t="n">
        <v>45</v>
      </c>
      <c r="O377" s="19">
        <f>IF(L377="","",L377*N377)</f>
        <v/>
      </c>
      <c r="P377" s="19">
        <f>IF(M377="","",M377*N377)</f>
        <v/>
      </c>
      <c r="Q377" s="8" t="n"/>
      <c r="R377" s="8" t="inlineStr">
        <is>
          <t>Stock a 0</t>
        </is>
      </c>
      <c r="S377" s="9" t="n"/>
    </row>
    <row r="378">
      <c r="A378" s="8" t="n">
        <v>372</v>
      </c>
      <c r="B378" s="8" t="inlineStr">
        <is>
          <t>Matières premières</t>
        </is>
      </c>
      <c r="C378" s="8" t="inlineStr">
        <is>
          <t>Ingrédients &gt; Viandes &amp; Volailles</t>
        </is>
      </c>
      <c r="D378" s="8" t="inlineStr">
        <is>
          <t>Kefta</t>
        </is>
      </c>
      <c r="E378" s="8" t="inlineStr"/>
      <c r="F378" s="8" t="inlineStr">
        <is>
          <t>kg</t>
        </is>
      </c>
      <c r="G378" s="8" t="inlineStr"/>
      <c r="H378" s="14" t="n"/>
      <c r="I378" s="14" t="n">
        <v>0</v>
      </c>
      <c r="J378" s="15" t="n"/>
      <c r="K378" s="16" t="n"/>
      <c r="L378" s="17">
        <f>IF(AND(J378="",K378=""),"",IF(H378="",K378,J378*H378+K378))</f>
        <v/>
      </c>
      <c r="M378" s="17">
        <f>IF(L378="","",L378-I378)</f>
        <v/>
      </c>
      <c r="N378" s="18" t="n">
        <v>120</v>
      </c>
      <c r="O378" s="19">
        <f>IF(L378="","",L378*N378)</f>
        <v/>
      </c>
      <c r="P378" s="19">
        <f>IF(M378="","",M378*N378)</f>
        <v/>
      </c>
      <c r="Q378" s="8" t="n"/>
      <c r="R378" s="8" t="inlineStr">
        <is>
          <t>Stock a 0</t>
        </is>
      </c>
      <c r="S378" s="9" t="n"/>
    </row>
    <row r="379">
      <c r="A379" s="8" t="n">
        <v>373</v>
      </c>
      <c r="B379" s="8" t="inlineStr">
        <is>
          <t>Matières premières</t>
        </is>
      </c>
      <c r="C379" s="8" t="inlineStr">
        <is>
          <t>Ingrédients &gt; Viandes &amp; Volailles</t>
        </is>
      </c>
      <c r="D379" s="8" t="inlineStr">
        <is>
          <t>Kefta</t>
        </is>
      </c>
      <c r="E379" s="8" t="inlineStr"/>
      <c r="F379" s="8" t="inlineStr">
        <is>
          <t>kg</t>
        </is>
      </c>
      <c r="G379" s="8" t="inlineStr"/>
      <c r="H379" s="14" t="n"/>
      <c r="I379" s="14" t="n">
        <v>0</v>
      </c>
      <c r="J379" s="15" t="n"/>
      <c r="K379" s="16" t="n"/>
      <c r="L379" s="17">
        <f>IF(AND(J379="",K379=""),"",IF(H379="",K379,J379*H379+K379))</f>
        <v/>
      </c>
      <c r="M379" s="17">
        <f>IF(L379="","",L379-I379)</f>
        <v/>
      </c>
      <c r="N379" s="18" t="n">
        <v>120</v>
      </c>
      <c r="O379" s="19">
        <f>IF(L379="","",L379*N379)</f>
        <v/>
      </c>
      <c r="P379" s="19">
        <f>IF(M379="","",M379*N379)</f>
        <v/>
      </c>
      <c r="Q379" s="8" t="n"/>
      <c r="R379" s="8" t="inlineStr">
        <is>
          <t>En stock</t>
        </is>
      </c>
      <c r="S379" s="9" t="n"/>
    </row>
    <row r="380">
      <c r="A380" s="8" t="n">
        <v>374</v>
      </c>
      <c r="B380" s="8" t="inlineStr">
        <is>
          <t>Matières premières</t>
        </is>
      </c>
      <c r="C380" s="8" t="inlineStr">
        <is>
          <t>Ingrédients &gt; Viandes &amp; Volailles</t>
        </is>
      </c>
      <c r="D380" s="8" t="inlineStr">
        <is>
          <t>Viande hachée</t>
        </is>
      </c>
      <c r="E380" s="8" t="inlineStr">
        <is>
          <t>Boucherie locale</t>
        </is>
      </c>
      <c r="F380" s="8" t="inlineStr">
        <is>
          <t>kg</t>
        </is>
      </c>
      <c r="G380" s="8" t="inlineStr"/>
      <c r="H380" s="14" t="n"/>
      <c r="I380" s="14" t="n">
        <v>0</v>
      </c>
      <c r="J380" s="15" t="n"/>
      <c r="K380" s="16" t="n"/>
      <c r="L380" s="17">
        <f>IF(AND(J380="",K380=""),"",IF(H380="",K380,J380*H380+K380))</f>
        <v/>
      </c>
      <c r="M380" s="17">
        <f>IF(L380="","",L380-I380)</f>
        <v/>
      </c>
      <c r="N380" s="18" t="n">
        <v>30</v>
      </c>
      <c r="O380" s="19">
        <f>IF(L380="","",L380*N380)</f>
        <v/>
      </c>
      <c r="P380" s="19">
        <f>IF(M380="","",M380*N380)</f>
        <v/>
      </c>
      <c r="Q380" s="8" t="n"/>
      <c r="R380" s="8" t="inlineStr">
        <is>
          <t>Jamais recu</t>
        </is>
      </c>
      <c r="S380" s="9" t="n"/>
    </row>
    <row r="381">
      <c r="A381" s="8" t="n">
        <v>375</v>
      </c>
      <c r="B381" s="8" t="inlineStr">
        <is>
          <t>Équipements &amp; Matériel</t>
        </is>
      </c>
      <c r="C381" s="8" t="inlineStr">
        <is>
          <t>Matériel cuisine &gt; Fours &amp; Pétrins</t>
        </is>
      </c>
      <c r="D381" s="8" t="inlineStr">
        <is>
          <t>BOUTEILLE DE GAZ</t>
        </is>
      </c>
      <c r="E381" s="8" t="inlineStr"/>
      <c r="F381" s="8" t="inlineStr">
        <is>
          <t>unit</t>
        </is>
      </c>
      <c r="G381" s="8" t="inlineStr"/>
      <c r="H381" s="14" t="n"/>
      <c r="I381" s="14" t="n">
        <v>0</v>
      </c>
      <c r="J381" s="15" t="n"/>
      <c r="K381" s="16" t="n"/>
      <c r="L381" s="17">
        <f>IF(AND(J381="",K381=""),"",IF(H381="",K381,J381*H381+K381))</f>
        <v/>
      </c>
      <c r="M381" s="17">
        <f>IF(L381="","",L381-I381)</f>
        <v/>
      </c>
      <c r="N381" s="18" t="n">
        <v>50</v>
      </c>
      <c r="O381" s="19">
        <f>IF(L381="","",L381*N381)</f>
        <v/>
      </c>
      <c r="P381" s="19">
        <f>IF(M381="","",M381*N381)</f>
        <v/>
      </c>
      <c r="Q381" s="8" t="n"/>
      <c r="R381" s="8" t="inlineStr">
        <is>
          <t>En stock</t>
        </is>
      </c>
      <c r="S381" s="9" t="n"/>
    </row>
    <row r="382">
      <c r="A382" s="20" t="n"/>
      <c r="B382" s="20" t="n"/>
      <c r="C382" s="20" t="n"/>
      <c r="D382" s="20" t="inlineStr">
        <is>
          <t>TOTAL INGREDIENTS</t>
        </is>
      </c>
      <c r="E382" s="20" t="n"/>
      <c r="F382" s="20" t="n"/>
      <c r="G382" s="20" t="n"/>
      <c r="H382" s="20" t="n"/>
      <c r="I382" s="20" t="n"/>
      <c r="J382" s="20" t="n"/>
      <c r="K382" s="20" t="n"/>
      <c r="L382" s="20" t="n"/>
      <c r="M382" s="20" t="n"/>
      <c r="N382" s="20" t="n"/>
      <c r="O382" s="21">
        <f>SUM(O7:O381)</f>
        <v/>
      </c>
      <c r="P382" s="21">
        <f>SUM(P7:P381)</f>
        <v/>
      </c>
      <c r="Q382" s="20" t="n"/>
      <c r="R382" s="20" t="n"/>
      <c r="S382" s="20" t="n"/>
    </row>
  </sheetData>
  <autoFilter ref="A6:S381"/>
  <mergeCells count="1">
    <mergeCell ref="A1:F1"/>
  </mergeCells>
  <conditionalFormatting sqref="A7:S381">
    <cfRule type="expression" priority="1" dxfId="0" stopIfTrue="0">
      <formula>AND($L7&lt;&gt;"",$M7&lt;&gt;0)</formula>
    </cfRule>
  </conditionalFormatting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16"/>
  <sheetViews>
    <sheetView workbookViewId="0">
      <pane xSplit="4" ySplit="6" topLeftCell="E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38" customWidth="1" min="4" max="4"/>
    <col width="22" customWidth="1" min="5" max="5"/>
    <col width="20" customWidth="1" min="6" max="6"/>
    <col width="8" customWidth="1" min="7" max="7"/>
    <col width="13" customWidth="1" min="8" max="8"/>
    <col width="13" customWidth="1" min="9" max="9"/>
    <col width="11" customWidth="1" min="10" max="10"/>
    <col width="10" customWidth="1" min="11" max="11"/>
    <col width="14" customWidth="1" min="12" max="12"/>
    <col width="14" customWidth="1" min="13" max="13"/>
    <col width="32" customWidth="1" min="14" max="14"/>
  </cols>
  <sheetData>
    <row r="1">
      <c r="A1" s="11" t="inlineStr">
        <is>
          <t>INVENTAIRE ECONOMAT - EMBALLAGES, ENTRETIEN ET PETIT MATERIEL</t>
        </is>
      </c>
    </row>
    <row r="3">
      <c r="A3" s="12" t="inlineStr">
        <is>
          <t>Date de l'inventaire :</t>
        </is>
      </c>
      <c r="B3" s="9" t="n"/>
      <c r="D3" s="12" t="inlineStr">
        <is>
          <t>Comptage effectue par :</t>
        </is>
      </c>
      <c r="E3" s="9" t="n"/>
      <c r="G3" s="12" t="inlineStr">
        <is>
          <t>Verifie par :</t>
        </is>
      </c>
      <c r="H3" s="9" t="n"/>
    </row>
    <row r="4">
      <c r="A4" s="13" t="inlineStr">
        <is>
          <t>Fond jaune = a remplir  |  fond gris = calcule automatiquement  |  ecart non nul = ligne en rouge</t>
        </is>
      </c>
    </row>
    <row r="6" ht="42" customHeight="1">
      <c r="A6" s="7" t="inlineStr">
        <is>
          <t>N°</t>
        </is>
      </c>
      <c r="B6" s="7" t="inlineStr">
        <is>
          <t>Famille</t>
        </is>
      </c>
      <c r="C6" s="7" t="inlineStr">
        <is>
          <t>Categorie</t>
        </is>
      </c>
      <c r="D6" s="7" t="inlineStr">
        <is>
          <t>Article</t>
        </is>
      </c>
      <c r="E6" s="7" t="inlineStr">
        <is>
          <t>Format</t>
        </is>
      </c>
      <c r="F6" s="7" t="inlineStr">
        <is>
          <t>Fournisseur</t>
        </is>
      </c>
      <c r="G6" s="7" t="inlineStr">
        <is>
          <t>Unite</t>
        </is>
      </c>
      <c r="H6" s="7" t="inlineStr">
        <is>
          <t>Stock theorique</t>
        </is>
      </c>
      <c r="I6" s="7" t="inlineStr">
        <is>
          <t>Qte comptee</t>
        </is>
      </c>
      <c r="J6" s="7" t="inlineStr">
        <is>
          <t>Ecart</t>
        </is>
      </c>
      <c r="K6" s="7" t="inlineStr">
        <is>
          <t>PU</t>
        </is>
      </c>
      <c r="L6" s="7" t="inlineStr">
        <is>
          <t>Valeur comptee</t>
        </is>
      </c>
      <c r="M6" s="7" t="inlineStr">
        <is>
          <t>Valeur ecart</t>
        </is>
      </c>
      <c r="N6" s="7" t="inlineStr">
        <is>
          <t>Observations</t>
        </is>
      </c>
    </row>
    <row r="7">
      <c r="A7" s="8" t="n">
        <v>1</v>
      </c>
      <c r="B7" s="8" t="inlineStr">
        <is>
          <t>Emballages</t>
        </is>
      </c>
      <c r="C7" s="8" t="inlineStr">
        <is>
          <t>Boites</t>
        </is>
      </c>
      <c r="D7" s="8" t="inlineStr">
        <is>
          <t>Boite à gateau</t>
        </is>
      </c>
      <c r="E7" s="8" t="inlineStr"/>
      <c r="F7" s="8" t="inlineStr"/>
      <c r="G7" s="8" t="inlineStr">
        <is>
          <t>unit</t>
        </is>
      </c>
      <c r="H7" s="14" t="n">
        <v>0</v>
      </c>
      <c r="I7" s="16" t="n"/>
      <c r="J7" s="17">
        <f>IF(I7="","",I7-H7)</f>
        <v/>
      </c>
      <c r="K7" s="18" t="n">
        <v>30</v>
      </c>
      <c r="L7" s="19">
        <f>IF(I7="","",I7*K7)</f>
        <v/>
      </c>
      <c r="M7" s="19">
        <f>IF(J7="","",J7*K7)</f>
        <v/>
      </c>
      <c r="N7" s="9" t="n"/>
    </row>
    <row r="8">
      <c r="A8" s="8" t="n">
        <v>2</v>
      </c>
      <c r="B8" s="8" t="inlineStr">
        <is>
          <t>Emballages</t>
        </is>
      </c>
      <c r="C8" s="8" t="inlineStr">
        <is>
          <t>Etiquettes</t>
        </is>
      </c>
      <c r="D8" s="8" t="inlineStr">
        <is>
          <t>Etiquettes</t>
        </is>
      </c>
      <c r="E8" s="8" t="inlineStr"/>
      <c r="F8" s="8" t="inlineStr"/>
      <c r="G8" s="8" t="inlineStr">
        <is>
          <t>unit</t>
        </is>
      </c>
      <c r="H8" s="14" t="n">
        <v>0</v>
      </c>
      <c r="I8" s="16" t="n"/>
      <c r="J8" s="17">
        <f>IF(I8="","",I8-H8)</f>
        <v/>
      </c>
      <c r="K8" s="18" t="n">
        <v>12</v>
      </c>
      <c r="L8" s="19">
        <f>IF(I8="","",I8*K8)</f>
        <v/>
      </c>
      <c r="M8" s="19">
        <f>IF(J8="","",J8*K8)</f>
        <v/>
      </c>
      <c r="N8" s="9" t="n"/>
    </row>
    <row r="9">
      <c r="A9" s="8" t="n">
        <v>3</v>
      </c>
      <c r="B9" s="8" t="inlineStr">
        <is>
          <t>Emballages</t>
        </is>
      </c>
      <c r="C9" s="8" t="inlineStr">
        <is>
          <t>Etiquettes</t>
        </is>
      </c>
      <c r="D9" s="8" t="inlineStr">
        <is>
          <t>Languette triangle</t>
        </is>
      </c>
      <c r="E9" s="8" t="inlineStr"/>
      <c r="F9" s="8" t="inlineStr"/>
      <c r="G9" s="8" t="inlineStr">
        <is>
          <t>unit</t>
        </is>
      </c>
      <c r="H9" s="14" t="n">
        <v>0</v>
      </c>
      <c r="I9" s="16" t="n"/>
      <c r="J9" s="17">
        <f>IF(I9="","",I9-H9)</f>
        <v/>
      </c>
      <c r="K9" s="18" t="n">
        <v>0.24</v>
      </c>
      <c r="L9" s="19">
        <f>IF(I9="","",I9*K9)</f>
        <v/>
      </c>
      <c r="M9" s="19">
        <f>IF(J9="","",J9*K9)</f>
        <v/>
      </c>
      <c r="N9" s="9" t="n"/>
    </row>
    <row r="10">
      <c r="A10" s="8" t="n">
        <v>4</v>
      </c>
      <c r="B10" s="8" t="inlineStr">
        <is>
          <t>Emballages</t>
        </is>
      </c>
      <c r="C10" s="8" t="inlineStr">
        <is>
          <t>Ficelles &amp; Rubans</t>
        </is>
      </c>
      <c r="D10" s="8" t="inlineStr">
        <is>
          <t>CAPSULES</t>
        </is>
      </c>
      <c r="E10" s="8" t="inlineStr"/>
      <c r="F10" s="8" t="inlineStr"/>
      <c r="G10" s="8" t="inlineStr">
        <is>
          <t>unit</t>
        </is>
      </c>
      <c r="H10" s="14" t="n">
        <v>0</v>
      </c>
      <c r="I10" s="16" t="n"/>
      <c r="J10" s="17">
        <f>IF(I10="","",I10-H10)</f>
        <v/>
      </c>
      <c r="K10" s="18" t="n">
        <v>5</v>
      </c>
      <c r="L10" s="19">
        <f>IF(I10="","",I10*K10)</f>
        <v/>
      </c>
      <c r="M10" s="19">
        <f>IF(J10="","",J10*K10)</f>
        <v/>
      </c>
      <c r="N10" s="9" t="n"/>
    </row>
    <row r="11">
      <c r="A11" s="8" t="n">
        <v>5</v>
      </c>
      <c r="B11" s="8" t="inlineStr">
        <is>
          <t>Emballages</t>
        </is>
      </c>
      <c r="C11" s="8" t="inlineStr">
        <is>
          <t>Ficelles &amp; Rubans</t>
        </is>
      </c>
      <c r="D11" s="8" t="inlineStr">
        <is>
          <t>Caissette 45</t>
        </is>
      </c>
      <c r="E11" s="8" t="inlineStr"/>
      <c r="F11" s="8" t="inlineStr"/>
      <c r="G11" s="8" t="inlineStr">
        <is>
          <t>unit</t>
        </is>
      </c>
      <c r="H11" s="14" t="n">
        <v>0</v>
      </c>
      <c r="I11" s="16" t="n"/>
      <c r="J11" s="17">
        <f>IF(I11="","",I11-H11)</f>
        <v/>
      </c>
      <c r="K11" s="18" t="n">
        <v>30</v>
      </c>
      <c r="L11" s="19">
        <f>IF(I11="","",I11*K11)</f>
        <v/>
      </c>
      <c r="M11" s="19">
        <f>IF(J11="","",J11*K11)</f>
        <v/>
      </c>
      <c r="N11" s="9" t="n"/>
    </row>
    <row r="12">
      <c r="A12" s="8" t="n">
        <v>6</v>
      </c>
      <c r="B12" s="8" t="inlineStr">
        <is>
          <t>Emballages</t>
        </is>
      </c>
      <c r="C12" s="8" t="inlineStr">
        <is>
          <t>Ficelles &amp; Rubans</t>
        </is>
      </c>
      <c r="D12" s="8" t="inlineStr">
        <is>
          <t>Caissette capcake</t>
        </is>
      </c>
      <c r="E12" s="8" t="inlineStr"/>
      <c r="F12" s="8" t="inlineStr"/>
      <c r="G12" s="8" t="inlineStr">
        <is>
          <t>unit</t>
        </is>
      </c>
      <c r="H12" s="14" t="n">
        <v>0</v>
      </c>
      <c r="I12" s="16" t="n"/>
      <c r="J12" s="17">
        <f>IF(I12="","",I12-H12)</f>
        <v/>
      </c>
      <c r="K12" s="18" t="n">
        <v>0.8</v>
      </c>
      <c r="L12" s="19">
        <f>IF(I12="","",I12*K12)</f>
        <v/>
      </c>
      <c r="M12" s="19">
        <f>IF(J12="","",J12*K12)</f>
        <v/>
      </c>
      <c r="N12" s="9" t="n"/>
    </row>
    <row r="13">
      <c r="A13" s="8" t="n">
        <v>7</v>
      </c>
      <c r="B13" s="8" t="inlineStr">
        <is>
          <t>Emballages</t>
        </is>
      </c>
      <c r="C13" s="8" t="inlineStr">
        <is>
          <t>Ficelles &amp; Rubans</t>
        </is>
      </c>
      <c r="D13" s="8" t="inlineStr">
        <is>
          <t>Caissette muffins</t>
        </is>
      </c>
      <c r="E13" s="8" t="inlineStr"/>
      <c r="F13" s="8" t="inlineStr"/>
      <c r="G13" s="8" t="inlineStr">
        <is>
          <t>unit</t>
        </is>
      </c>
      <c r="H13" s="14" t="n">
        <v>0</v>
      </c>
      <c r="I13" s="16" t="n"/>
      <c r="J13" s="17">
        <f>IF(I13="","",I13-H13)</f>
        <v/>
      </c>
      <c r="K13" s="18" t="n">
        <v>28</v>
      </c>
      <c r="L13" s="19">
        <f>IF(I13="","",I13*K13)</f>
        <v/>
      </c>
      <c r="M13" s="19">
        <f>IF(J13="","",J13*K13)</f>
        <v/>
      </c>
      <c r="N13" s="9" t="n"/>
    </row>
    <row r="14">
      <c r="A14" s="8" t="n">
        <v>8</v>
      </c>
      <c r="B14" s="8" t="inlineStr">
        <is>
          <t>Emballages</t>
        </is>
      </c>
      <c r="C14" s="8" t="inlineStr">
        <is>
          <t>Ficelles &amp; Rubans</t>
        </is>
      </c>
      <c r="D14" s="8" t="inlineStr">
        <is>
          <t>FEUILLE DE CELLOPHANE</t>
        </is>
      </c>
      <c r="E14" s="8" t="inlineStr"/>
      <c r="F14" s="8" t="inlineStr"/>
      <c r="G14" s="8" t="inlineStr">
        <is>
          <t>unit</t>
        </is>
      </c>
      <c r="H14" s="14" t="n">
        <v>0</v>
      </c>
      <c r="I14" s="16" t="n"/>
      <c r="J14" s="17">
        <f>IF(I14="","",I14-H14)</f>
        <v/>
      </c>
      <c r="K14" s="18" t="n">
        <v>1.5</v>
      </c>
      <c r="L14" s="19">
        <f>IF(I14="","",I14*K14)</f>
        <v/>
      </c>
      <c r="M14" s="19">
        <f>IF(J14="","",J14*K14)</f>
        <v/>
      </c>
      <c r="N14" s="9" t="n"/>
    </row>
    <row r="15">
      <c r="A15" s="8" t="n">
        <v>9</v>
      </c>
      <c r="B15" s="8" t="inlineStr">
        <is>
          <t>Emballages</t>
        </is>
      </c>
      <c r="C15" s="8" t="inlineStr">
        <is>
          <t>Ficelles &amp; Rubans</t>
        </is>
      </c>
      <c r="D15" s="8" t="inlineStr">
        <is>
          <t>Languette</t>
        </is>
      </c>
      <c r="E15" s="8" t="inlineStr"/>
      <c r="F15" s="8" t="inlineStr"/>
      <c r="G15" s="8" t="inlineStr">
        <is>
          <t>unit</t>
        </is>
      </c>
      <c r="H15" s="14" t="n">
        <v>0</v>
      </c>
      <c r="I15" s="16" t="n"/>
      <c r="J15" s="17">
        <f>IF(I15="","",I15-H15)</f>
        <v/>
      </c>
      <c r="K15" s="18" t="n">
        <v>0</v>
      </c>
      <c r="L15" s="19">
        <f>IF(I15="","",I15*K15)</f>
        <v/>
      </c>
      <c r="M15" s="19">
        <f>IF(J15="","",J15*K15)</f>
        <v/>
      </c>
      <c r="N15" s="9" t="n"/>
    </row>
    <row r="16">
      <c r="A16" s="8" t="n">
        <v>10</v>
      </c>
      <c r="B16" s="8" t="inlineStr">
        <is>
          <t>Emballages</t>
        </is>
      </c>
      <c r="C16" s="8" t="inlineStr">
        <is>
          <t>Ficelles &amp; Rubans</t>
        </is>
      </c>
      <c r="D16" s="8" t="inlineStr">
        <is>
          <t>Longuette cheese cake</t>
        </is>
      </c>
      <c r="E16" s="8" t="inlineStr"/>
      <c r="F16" s="8" t="inlineStr"/>
      <c r="G16" s="8" t="inlineStr">
        <is>
          <t>unit</t>
        </is>
      </c>
      <c r="H16" s="14" t="n">
        <v>0</v>
      </c>
      <c r="I16" s="16" t="n"/>
      <c r="J16" s="17">
        <f>IF(I16="","",I16-H16)</f>
        <v/>
      </c>
      <c r="K16" s="18" t="n">
        <v>0.24</v>
      </c>
      <c r="L16" s="19">
        <f>IF(I16="","",I16*K16)</f>
        <v/>
      </c>
      <c r="M16" s="19">
        <f>IF(J16="","",J16*K16)</f>
        <v/>
      </c>
      <c r="N16" s="9" t="n"/>
    </row>
    <row r="17">
      <c r="A17" s="8" t="n">
        <v>11</v>
      </c>
      <c r="B17" s="8" t="inlineStr">
        <is>
          <t>Emballages</t>
        </is>
      </c>
      <c r="C17" s="8" t="inlineStr">
        <is>
          <t>Ficelles &amp; Rubans</t>
        </is>
      </c>
      <c r="D17" s="8" t="inlineStr">
        <is>
          <t>Longuette triangle</t>
        </is>
      </c>
      <c r="E17" s="8" t="inlineStr"/>
      <c r="F17" s="8" t="inlineStr"/>
      <c r="G17" s="8" t="inlineStr">
        <is>
          <t>unit</t>
        </is>
      </c>
      <c r="H17" s="14" t="n">
        <v>0</v>
      </c>
      <c r="I17" s="16" t="n"/>
      <c r="J17" s="17">
        <f>IF(I17="","",I17-H17)</f>
        <v/>
      </c>
      <c r="K17" s="18" t="n">
        <v>0.3</v>
      </c>
      <c r="L17" s="19">
        <f>IF(I17="","",I17*K17)</f>
        <v/>
      </c>
      <c r="M17" s="19">
        <f>IF(J17="","",J17*K17)</f>
        <v/>
      </c>
      <c r="N17" s="9" t="n"/>
    </row>
    <row r="18">
      <c r="A18" s="8" t="n">
        <v>12</v>
      </c>
      <c r="B18" s="8" t="inlineStr">
        <is>
          <t>Emballages</t>
        </is>
      </c>
      <c r="C18" s="8" t="inlineStr">
        <is>
          <t>Ficelles &amp; Rubans</t>
        </is>
      </c>
      <c r="D18" s="8" t="inlineStr">
        <is>
          <t>Pévicé</t>
        </is>
      </c>
      <c r="E18" s="8" t="inlineStr"/>
      <c r="F18" s="8" t="inlineStr"/>
      <c r="G18" s="8" t="inlineStr">
        <is>
          <t>unit</t>
        </is>
      </c>
      <c r="H18" s="14" t="n">
        <v>0</v>
      </c>
      <c r="I18" s="16" t="n"/>
      <c r="J18" s="17">
        <f>IF(I18="","",I18-H18)</f>
        <v/>
      </c>
      <c r="K18" s="18" t="n">
        <v>180</v>
      </c>
      <c r="L18" s="19">
        <f>IF(I18="","",I18*K18)</f>
        <v/>
      </c>
      <c r="M18" s="19">
        <f>IF(J18="","",J18*K18)</f>
        <v/>
      </c>
      <c r="N18" s="9" t="n"/>
    </row>
    <row r="19">
      <c r="A19" s="8" t="n">
        <v>13</v>
      </c>
      <c r="B19" s="8" t="inlineStr">
        <is>
          <t>Emballages</t>
        </is>
      </c>
      <c r="C19" s="8" t="inlineStr">
        <is>
          <t>Ficelles &amp; Rubans</t>
        </is>
      </c>
      <c r="D19" s="8" t="inlineStr">
        <is>
          <t>RUBAN</t>
        </is>
      </c>
      <c r="E19" s="8" t="inlineStr"/>
      <c r="F19" s="8" t="inlineStr"/>
      <c r="G19" s="8" t="inlineStr">
        <is>
          <t>unit</t>
        </is>
      </c>
      <c r="H19" s="14" t="n">
        <v>0</v>
      </c>
      <c r="I19" s="16" t="n"/>
      <c r="J19" s="17">
        <f>IF(I19="","",I19-H19)</f>
        <v/>
      </c>
      <c r="K19" s="18" t="n">
        <v>35</v>
      </c>
      <c r="L19" s="19">
        <f>IF(I19="","",I19*K19)</f>
        <v/>
      </c>
      <c r="M19" s="19">
        <f>IF(J19="","",J19*K19)</f>
        <v/>
      </c>
      <c r="N19" s="9" t="n"/>
    </row>
    <row r="20">
      <c r="A20" s="8" t="n">
        <v>14</v>
      </c>
      <c r="B20" s="8" t="inlineStr">
        <is>
          <t>Emballages</t>
        </is>
      </c>
      <c r="C20" s="8" t="inlineStr">
        <is>
          <t>Ficelles &amp; Rubans</t>
        </is>
      </c>
      <c r="D20" s="8" t="inlineStr">
        <is>
          <t>Ruban adhésif</t>
        </is>
      </c>
      <c r="E20" s="8" t="inlineStr"/>
      <c r="F20" s="8" t="inlineStr"/>
      <c r="G20" s="8" t="inlineStr">
        <is>
          <t>unit</t>
        </is>
      </c>
      <c r="H20" s="14" t="n">
        <v>0</v>
      </c>
      <c r="I20" s="16" t="n"/>
      <c r="J20" s="17">
        <f>IF(I20="","",I20-H20)</f>
        <v/>
      </c>
      <c r="K20" s="18" t="n">
        <v>20</v>
      </c>
      <c r="L20" s="19">
        <f>IF(I20="","",I20*K20)</f>
        <v/>
      </c>
      <c r="M20" s="19">
        <f>IF(J20="","",J20*K20)</f>
        <v/>
      </c>
      <c r="N20" s="9" t="n"/>
    </row>
    <row r="21">
      <c r="A21" s="8" t="n">
        <v>15</v>
      </c>
      <c r="B21" s="8" t="inlineStr">
        <is>
          <t>Emballages</t>
        </is>
      </c>
      <c r="C21" s="8" t="inlineStr">
        <is>
          <t>Ficelles &amp; Rubans</t>
        </is>
      </c>
      <c r="D21" s="8" t="inlineStr">
        <is>
          <t>Topper happy birthday</t>
        </is>
      </c>
      <c r="E21" s="8" t="inlineStr"/>
      <c r="F21" s="8" t="inlineStr"/>
      <c r="G21" s="8" t="inlineStr">
        <is>
          <t>unit</t>
        </is>
      </c>
      <c r="H21" s="14" t="n">
        <v>0</v>
      </c>
      <c r="I21" s="16" t="n"/>
      <c r="J21" s="17">
        <f>IF(I21="","",I21-H21)</f>
        <v/>
      </c>
      <c r="K21" s="18" t="n">
        <v>12</v>
      </c>
      <c r="L21" s="19">
        <f>IF(I21="","",I21*K21)</f>
        <v/>
      </c>
      <c r="M21" s="19">
        <f>IF(J21="","",J21*K21)</f>
        <v/>
      </c>
      <c r="N21" s="9" t="n"/>
    </row>
    <row r="22">
      <c r="A22" s="8" t="n">
        <v>16</v>
      </c>
      <c r="B22" s="8" t="inlineStr">
        <is>
          <t>Emballages</t>
        </is>
      </c>
      <c r="C22" s="8" t="inlineStr">
        <is>
          <t>Papier boulanger</t>
        </is>
      </c>
      <c r="D22" s="8" t="inlineStr">
        <is>
          <t>PAPIER CUISSON PREMIUM 500 FEUILLES</t>
        </is>
      </c>
      <c r="E22" s="8" t="inlineStr"/>
      <c r="F22" s="8" t="inlineStr"/>
      <c r="G22" s="8" t="inlineStr">
        <is>
          <t>unit</t>
        </is>
      </c>
      <c r="H22" s="14" t="n">
        <v>0</v>
      </c>
      <c r="I22" s="16" t="n"/>
      <c r="J22" s="17">
        <f>IF(I22="","",I22-H22)</f>
        <v/>
      </c>
      <c r="K22" s="18" t="n">
        <v>270</v>
      </c>
      <c r="L22" s="19">
        <f>IF(I22="","",I22*K22)</f>
        <v/>
      </c>
      <c r="M22" s="19">
        <f>IF(J22="","",J22*K22)</f>
        <v/>
      </c>
      <c r="N22" s="9" t="n"/>
    </row>
    <row r="23">
      <c r="A23" s="8" t="n">
        <v>17</v>
      </c>
      <c r="B23" s="8" t="inlineStr">
        <is>
          <t>Emballages</t>
        </is>
      </c>
      <c r="C23" s="8" t="inlineStr">
        <is>
          <t>Papier boulanger</t>
        </is>
      </c>
      <c r="D23" s="8" t="inlineStr">
        <is>
          <t>Papier aluminium</t>
        </is>
      </c>
      <c r="E23" s="8" t="inlineStr"/>
      <c r="F23" s="8" t="inlineStr"/>
      <c r="G23" s="8" t="inlineStr">
        <is>
          <t>unit</t>
        </is>
      </c>
      <c r="H23" s="14" t="n">
        <v>0</v>
      </c>
      <c r="I23" s="16" t="n"/>
      <c r="J23" s="17">
        <f>IF(I23="","",I23-H23)</f>
        <v/>
      </c>
      <c r="K23" s="18" t="n">
        <v>25</v>
      </c>
      <c r="L23" s="19">
        <f>IF(I23="","",I23*K23)</f>
        <v/>
      </c>
      <c r="M23" s="19">
        <f>IF(J23="","",J23*K23)</f>
        <v/>
      </c>
      <c r="N23" s="9" t="n"/>
    </row>
    <row r="24">
      <c r="A24" s="8" t="n">
        <v>18</v>
      </c>
      <c r="B24" s="8" t="inlineStr">
        <is>
          <t>Emballages</t>
        </is>
      </c>
      <c r="C24" s="8" t="inlineStr">
        <is>
          <t>Papier boulanger</t>
        </is>
      </c>
      <c r="D24" s="8" t="inlineStr">
        <is>
          <t>Papier cuisson</t>
        </is>
      </c>
      <c r="E24" s="8" t="inlineStr"/>
      <c r="F24" s="8" t="inlineStr"/>
      <c r="G24" s="8" t="inlineStr">
        <is>
          <t>unit</t>
        </is>
      </c>
      <c r="H24" s="14" t="n">
        <v>0</v>
      </c>
      <c r="I24" s="16" t="n"/>
      <c r="J24" s="17">
        <f>IF(I24="","",I24-H24)</f>
        <v/>
      </c>
      <c r="K24" s="18" t="n">
        <v>5</v>
      </c>
      <c r="L24" s="19">
        <f>IF(I24="","",I24*K24)</f>
        <v/>
      </c>
      <c r="M24" s="19">
        <f>IF(J24="","",J24*K24)</f>
        <v/>
      </c>
      <c r="N24" s="9" t="n"/>
    </row>
    <row r="25">
      <c r="A25" s="8" t="n">
        <v>19</v>
      </c>
      <c r="B25" s="8" t="inlineStr">
        <is>
          <t>Emballages</t>
        </is>
      </c>
      <c r="C25" s="8" t="inlineStr">
        <is>
          <t>Sacs</t>
        </is>
      </c>
      <c r="D25" s="8" t="inlineStr">
        <is>
          <t>Sachet grand</t>
        </is>
      </c>
      <c r="E25" s="8" t="inlineStr"/>
      <c r="F25" s="8" t="inlineStr"/>
      <c r="G25" s="8" t="inlineStr">
        <is>
          <t>kg</t>
        </is>
      </c>
      <c r="H25" s="14" t="n">
        <v>0</v>
      </c>
      <c r="I25" s="16" t="n"/>
      <c r="J25" s="17">
        <f>IF(I25="","",I25-H25)</f>
        <v/>
      </c>
      <c r="K25" s="18" t="n">
        <v>230</v>
      </c>
      <c r="L25" s="19">
        <f>IF(I25="","",I25*K25)</f>
        <v/>
      </c>
      <c r="M25" s="19">
        <f>IF(J25="","",J25*K25)</f>
        <v/>
      </c>
      <c r="N25" s="9" t="n"/>
    </row>
    <row r="26">
      <c r="A26" s="8" t="n">
        <v>20</v>
      </c>
      <c r="B26" s="8" t="inlineStr">
        <is>
          <t>Emballages</t>
        </is>
      </c>
      <c r="C26" s="8" t="inlineStr">
        <is>
          <t>Sacs</t>
        </is>
      </c>
      <c r="D26" s="8" t="inlineStr">
        <is>
          <t>Sachet grand 1</t>
        </is>
      </c>
      <c r="E26" s="8" t="inlineStr"/>
      <c r="F26" s="8" t="inlineStr"/>
      <c r="G26" s="8" t="inlineStr">
        <is>
          <t>kg</t>
        </is>
      </c>
      <c r="H26" s="14" t="n">
        <v>0</v>
      </c>
      <c r="I26" s="16" t="n"/>
      <c r="J26" s="17">
        <f>IF(I26="","",I26-H26)</f>
        <v/>
      </c>
      <c r="K26" s="18" t="n">
        <v>25</v>
      </c>
      <c r="L26" s="19">
        <f>IF(I26="","",I26*K26)</f>
        <v/>
      </c>
      <c r="M26" s="19">
        <f>IF(J26="","",J26*K26)</f>
        <v/>
      </c>
      <c r="N26" s="9" t="n"/>
    </row>
    <row r="27">
      <c r="A27" s="8" t="n">
        <v>21</v>
      </c>
      <c r="B27" s="8" t="inlineStr">
        <is>
          <t>Emballages</t>
        </is>
      </c>
      <c r="C27" s="8" t="inlineStr">
        <is>
          <t>Sacs</t>
        </is>
      </c>
      <c r="D27" s="8" t="inlineStr">
        <is>
          <t>Sachet grand 2</t>
        </is>
      </c>
      <c r="E27" s="8" t="inlineStr"/>
      <c r="F27" s="8" t="inlineStr"/>
      <c r="G27" s="8" t="inlineStr">
        <is>
          <t>kg</t>
        </is>
      </c>
      <c r="H27" s="14" t="n">
        <v>0</v>
      </c>
      <c r="I27" s="16" t="n"/>
      <c r="J27" s="17">
        <f>IF(I27="","",I27-H27)</f>
        <v/>
      </c>
      <c r="K27" s="18" t="n">
        <v>25</v>
      </c>
      <c r="L27" s="19">
        <f>IF(I27="","",I27*K27)</f>
        <v/>
      </c>
      <c r="M27" s="19">
        <f>IF(J27="","",J27*K27)</f>
        <v/>
      </c>
      <c r="N27" s="9" t="n"/>
    </row>
    <row r="28">
      <c r="A28" s="8" t="n">
        <v>22</v>
      </c>
      <c r="B28" s="8" t="inlineStr">
        <is>
          <t>Emballages</t>
        </is>
      </c>
      <c r="C28" s="8" t="inlineStr">
        <is>
          <t>Sacs</t>
        </is>
      </c>
      <c r="D28" s="8" t="inlineStr">
        <is>
          <t>Sachet moyen 1</t>
        </is>
      </c>
      <c r="E28" s="8" t="inlineStr"/>
      <c r="F28" s="8" t="inlineStr"/>
      <c r="G28" s="8" t="inlineStr">
        <is>
          <t>kg</t>
        </is>
      </c>
      <c r="H28" s="14" t="n">
        <v>0</v>
      </c>
      <c r="I28" s="16" t="n"/>
      <c r="J28" s="17">
        <f>IF(I28="","",I28-H28)</f>
        <v/>
      </c>
      <c r="K28" s="18" t="n">
        <v>25</v>
      </c>
      <c r="L28" s="19">
        <f>IF(I28="","",I28*K28)</f>
        <v/>
      </c>
      <c r="M28" s="19">
        <f>IF(J28="","",J28*K28)</f>
        <v/>
      </c>
      <c r="N28" s="9" t="n"/>
    </row>
    <row r="29">
      <c r="A29" s="8" t="n">
        <v>23</v>
      </c>
      <c r="B29" s="8" t="inlineStr">
        <is>
          <t>Emballages</t>
        </is>
      </c>
      <c r="C29" s="8" t="inlineStr">
        <is>
          <t>Sacs</t>
        </is>
      </c>
      <c r="D29" s="8" t="inlineStr">
        <is>
          <t>Sachet moyen 2</t>
        </is>
      </c>
      <c r="E29" s="8" t="inlineStr"/>
      <c r="F29" s="8" t="inlineStr"/>
      <c r="G29" s="8" t="inlineStr">
        <is>
          <t>kg</t>
        </is>
      </c>
      <c r="H29" s="14" t="n">
        <v>0</v>
      </c>
      <c r="I29" s="16" t="n"/>
      <c r="J29" s="17">
        <f>IF(I29="","",I29-H29)</f>
        <v/>
      </c>
      <c r="K29" s="18" t="n">
        <v>25</v>
      </c>
      <c r="L29" s="19">
        <f>IF(I29="","",I29*K29)</f>
        <v/>
      </c>
      <c r="M29" s="19">
        <f>IF(J29="","",J29*K29)</f>
        <v/>
      </c>
      <c r="N29" s="9" t="n"/>
    </row>
    <row r="30">
      <c r="A30" s="8" t="n">
        <v>24</v>
      </c>
      <c r="B30" s="8" t="inlineStr">
        <is>
          <t>Emballages</t>
        </is>
      </c>
      <c r="C30" s="8" t="inlineStr">
        <is>
          <t>Sacs</t>
        </is>
      </c>
      <c r="D30" s="8" t="inlineStr">
        <is>
          <t>Sachet petit</t>
        </is>
      </c>
      <c r="E30" s="8" t="inlineStr"/>
      <c r="F30" s="8" t="inlineStr"/>
      <c r="G30" s="8" t="inlineStr">
        <is>
          <t>kg</t>
        </is>
      </c>
      <c r="H30" s="14" t="n">
        <v>0</v>
      </c>
      <c r="I30" s="16" t="n"/>
      <c r="J30" s="17">
        <f>IF(I30="","",I30-H30)</f>
        <v/>
      </c>
      <c r="K30" s="18" t="n">
        <v>25</v>
      </c>
      <c r="L30" s="19">
        <f>IF(I30="","",I30*K30)</f>
        <v/>
      </c>
      <c r="M30" s="19">
        <f>IF(J30="","",J30*K30)</f>
        <v/>
      </c>
      <c r="N30" s="9" t="n"/>
    </row>
    <row r="31">
      <c r="A31" s="8" t="n">
        <v>25</v>
      </c>
      <c r="B31" s="8" t="inlineStr">
        <is>
          <t>Entretien &amp; Maintenance</t>
        </is>
      </c>
      <c r="C31" s="8" t="inlineStr">
        <is>
          <t>Nettoyage &gt; Produits d'entretien</t>
        </is>
      </c>
      <c r="D31" s="8" t="inlineStr">
        <is>
          <t>Ajax</t>
        </is>
      </c>
      <c r="E31" s="8" t="inlineStr"/>
      <c r="F31" s="8" t="inlineStr"/>
      <c r="G31" s="8" t="inlineStr">
        <is>
          <t>unit</t>
        </is>
      </c>
      <c r="H31" s="14" t="n">
        <v>0</v>
      </c>
      <c r="I31" s="16" t="n"/>
      <c r="J31" s="17">
        <f>IF(I31="","",I31-H31)</f>
        <v/>
      </c>
      <c r="K31" s="18" t="n">
        <v>20</v>
      </c>
      <c r="L31" s="19">
        <f>IF(I31="","",I31*K31)</f>
        <v/>
      </c>
      <c r="M31" s="19">
        <f>IF(J31="","",J31*K31)</f>
        <v/>
      </c>
      <c r="N31" s="9" t="n"/>
    </row>
    <row r="32">
      <c r="A32" s="8" t="n">
        <v>26</v>
      </c>
      <c r="B32" s="8" t="inlineStr">
        <is>
          <t>Entretien &amp; Maintenance</t>
        </is>
      </c>
      <c r="C32" s="8" t="inlineStr">
        <is>
          <t>Nettoyage &gt; Produits d'entretien</t>
        </is>
      </c>
      <c r="D32" s="8" t="inlineStr">
        <is>
          <t>Eau de javel</t>
        </is>
      </c>
      <c r="E32" s="8" t="inlineStr"/>
      <c r="F32" s="8" t="inlineStr"/>
      <c r="G32" s="8" t="inlineStr">
        <is>
          <t>l</t>
        </is>
      </c>
      <c r="H32" s="14" t="n">
        <v>0</v>
      </c>
      <c r="I32" s="16" t="n"/>
      <c r="J32" s="17">
        <f>IF(I32="","",I32-H32)</f>
        <v/>
      </c>
      <c r="K32" s="18" t="n">
        <v>4</v>
      </c>
      <c r="L32" s="19">
        <f>IF(I32="","",I32*K32)</f>
        <v/>
      </c>
      <c r="M32" s="19">
        <f>IF(J32="","",J32*K32)</f>
        <v/>
      </c>
      <c r="N32" s="9" t="n"/>
    </row>
    <row r="33">
      <c r="A33" s="8" t="n">
        <v>27</v>
      </c>
      <c r="B33" s="8" t="inlineStr">
        <is>
          <t>Entretien &amp; Maintenance</t>
        </is>
      </c>
      <c r="C33" s="8" t="inlineStr">
        <is>
          <t>Nettoyage &gt; Produits d'entretien</t>
        </is>
      </c>
      <c r="D33" s="8" t="inlineStr">
        <is>
          <t>Liquide vaisselle</t>
        </is>
      </c>
      <c r="E33" s="8" t="inlineStr"/>
      <c r="F33" s="8" t="inlineStr"/>
      <c r="G33" s="8" t="inlineStr">
        <is>
          <t>unit</t>
        </is>
      </c>
      <c r="H33" s="14" t="n">
        <v>0</v>
      </c>
      <c r="I33" s="16" t="n"/>
      <c r="J33" s="17">
        <f>IF(I33="","",I33-H33)</f>
        <v/>
      </c>
      <c r="K33" s="18" t="n">
        <v>11</v>
      </c>
      <c r="L33" s="19">
        <f>IF(I33="","",I33*K33)</f>
        <v/>
      </c>
      <c r="M33" s="19">
        <f>IF(J33="","",J33*K33)</f>
        <v/>
      </c>
      <c r="N33" s="9" t="n"/>
    </row>
    <row r="34">
      <c r="A34" s="8" t="n">
        <v>28</v>
      </c>
      <c r="B34" s="8" t="inlineStr">
        <is>
          <t>Entretien &amp; Maintenance</t>
        </is>
      </c>
      <c r="C34" s="8" t="inlineStr">
        <is>
          <t>Nettoyage &gt; Produits d'entretien</t>
        </is>
      </c>
      <c r="D34" s="8" t="inlineStr">
        <is>
          <t>Oni</t>
        </is>
      </c>
      <c r="E34" s="8" t="inlineStr"/>
      <c r="F34" s="8" t="inlineStr"/>
      <c r="G34" s="8" t="inlineStr">
        <is>
          <t>unit</t>
        </is>
      </c>
      <c r="H34" s="14" t="n">
        <v>0</v>
      </c>
      <c r="I34" s="16" t="n"/>
      <c r="J34" s="17">
        <f>IF(I34="","",I34-H34)</f>
        <v/>
      </c>
      <c r="K34" s="18" t="n">
        <v>16</v>
      </c>
      <c r="L34" s="19">
        <f>IF(I34="","",I34*K34)</f>
        <v/>
      </c>
      <c r="M34" s="19">
        <f>IF(J34="","",J34*K34)</f>
        <v/>
      </c>
      <c r="N34" s="9" t="n"/>
    </row>
    <row r="35">
      <c r="A35" s="8" t="n">
        <v>29</v>
      </c>
      <c r="B35" s="8" t="inlineStr">
        <is>
          <t>Entretien &amp; Maintenance</t>
        </is>
      </c>
      <c r="C35" s="8" t="inlineStr">
        <is>
          <t>Nettoyage &gt; Produits d'entretien</t>
        </is>
      </c>
      <c r="D35" s="8" t="inlineStr">
        <is>
          <t>Papier en serviette</t>
        </is>
      </c>
      <c r="E35" s="8" t="inlineStr"/>
      <c r="F35" s="8" t="inlineStr"/>
      <c r="G35" s="8" t="inlineStr">
        <is>
          <t>unit</t>
        </is>
      </c>
      <c r="H35" s="14" t="n">
        <v>0</v>
      </c>
      <c r="I35" s="16" t="n"/>
      <c r="J35" s="17">
        <f>IF(I35="","",I35-H35)</f>
        <v/>
      </c>
      <c r="K35" s="18" t="n">
        <v>25</v>
      </c>
      <c r="L35" s="19">
        <f>IF(I35="","",I35*K35)</f>
        <v/>
      </c>
      <c r="M35" s="19">
        <f>IF(J35="","",J35*K35)</f>
        <v/>
      </c>
      <c r="N35" s="9" t="n"/>
    </row>
    <row r="36">
      <c r="A36" s="8" t="n">
        <v>30</v>
      </c>
      <c r="B36" s="8" t="inlineStr">
        <is>
          <t>Entretien &amp; Maintenance</t>
        </is>
      </c>
      <c r="C36" s="8" t="inlineStr">
        <is>
          <t>Nettoyage &gt; Produits d'entretien</t>
        </is>
      </c>
      <c r="D36" s="8" t="inlineStr">
        <is>
          <t>Papier essuie mains</t>
        </is>
      </c>
      <c r="E36" s="8" t="inlineStr"/>
      <c r="F36" s="8" t="inlineStr"/>
      <c r="G36" s="8" t="inlineStr">
        <is>
          <t>unit</t>
        </is>
      </c>
      <c r="H36" s="14" t="n">
        <v>0</v>
      </c>
      <c r="I36" s="16" t="n"/>
      <c r="J36" s="17">
        <f>IF(I36="","",I36-H36)</f>
        <v/>
      </c>
      <c r="K36" s="18" t="n">
        <v>10</v>
      </c>
      <c r="L36" s="19">
        <f>IF(I36="","",I36*K36)</f>
        <v/>
      </c>
      <c r="M36" s="19">
        <f>IF(J36="","",J36*K36)</f>
        <v/>
      </c>
      <c r="N36" s="9" t="n"/>
    </row>
    <row r="37">
      <c r="A37" s="8" t="n">
        <v>31</v>
      </c>
      <c r="B37" s="8" t="inlineStr">
        <is>
          <t>Entretien &amp; Maintenance</t>
        </is>
      </c>
      <c r="C37" s="8" t="inlineStr">
        <is>
          <t>Nettoyage &gt; Produits d'entretien</t>
        </is>
      </c>
      <c r="D37" s="8" t="inlineStr">
        <is>
          <t>Produits de nettoyage</t>
        </is>
      </c>
      <c r="E37" s="8" t="inlineStr"/>
      <c r="F37" s="8" t="inlineStr"/>
      <c r="G37" s="8" t="inlineStr">
        <is>
          <t>unit</t>
        </is>
      </c>
      <c r="H37" s="14" t="n">
        <v>0</v>
      </c>
      <c r="I37" s="16" t="n"/>
      <c r="J37" s="17">
        <f>IF(I37="","",I37-H37)</f>
        <v/>
      </c>
      <c r="K37" s="18" t="n">
        <v>15</v>
      </c>
      <c r="L37" s="19">
        <f>IF(I37="","",I37*K37)</f>
        <v/>
      </c>
      <c r="M37" s="19">
        <f>IF(J37="","",J37*K37)</f>
        <v/>
      </c>
      <c r="N37" s="9" t="n"/>
    </row>
    <row r="38">
      <c r="A38" s="8" t="n">
        <v>32</v>
      </c>
      <c r="B38" s="8" t="inlineStr">
        <is>
          <t>Entretien &amp; Maintenance</t>
        </is>
      </c>
      <c r="C38" s="8" t="inlineStr">
        <is>
          <t>Nettoyage &gt; Produits d'entretien</t>
        </is>
      </c>
      <c r="D38" s="8" t="inlineStr">
        <is>
          <t>Sacs poubelle</t>
        </is>
      </c>
      <c r="E38" s="8" t="inlineStr"/>
      <c r="F38" s="8" t="inlineStr"/>
      <c r="G38" s="8" t="inlineStr">
        <is>
          <t>unit</t>
        </is>
      </c>
      <c r="H38" s="14" t="n">
        <v>0</v>
      </c>
      <c r="I38" s="16" t="n"/>
      <c r="J38" s="17">
        <f>IF(I38="","",I38-H38)</f>
        <v/>
      </c>
      <c r="K38" s="18" t="n">
        <v>10</v>
      </c>
      <c r="L38" s="19">
        <f>IF(I38="","",I38*K38)</f>
        <v/>
      </c>
      <c r="M38" s="19">
        <f>IF(J38="","",J38*K38)</f>
        <v/>
      </c>
      <c r="N38" s="9" t="n"/>
    </row>
    <row r="39">
      <c r="A39" s="8" t="n">
        <v>33</v>
      </c>
      <c r="B39" s="8" t="inlineStr">
        <is>
          <t>Entretien &amp; Maintenance</t>
        </is>
      </c>
      <c r="C39" s="8" t="inlineStr">
        <is>
          <t>Nettoyage &gt; Équipement de nettoyage</t>
        </is>
      </c>
      <c r="D39" s="8" t="inlineStr">
        <is>
          <t>Balai</t>
        </is>
      </c>
      <c r="E39" s="8" t="inlineStr"/>
      <c r="F39" s="8" t="inlineStr"/>
      <c r="G39" s="8" t="inlineStr">
        <is>
          <t>unit</t>
        </is>
      </c>
      <c r="H39" s="14" t="n">
        <v>0</v>
      </c>
      <c r="I39" s="16" t="n"/>
      <c r="J39" s="17">
        <f>IF(I39="","",I39-H39)</f>
        <v/>
      </c>
      <c r="K39" s="18" t="n">
        <v>40</v>
      </c>
      <c r="L39" s="19">
        <f>IF(I39="","",I39*K39)</f>
        <v/>
      </c>
      <c r="M39" s="19">
        <f>IF(J39="","",J39*K39)</f>
        <v/>
      </c>
      <c r="N39" s="9" t="n"/>
    </row>
    <row r="40">
      <c r="A40" s="8" t="n">
        <v>34</v>
      </c>
      <c r="B40" s="8" t="inlineStr">
        <is>
          <t>Entretien &amp; Maintenance</t>
        </is>
      </c>
      <c r="C40" s="8" t="inlineStr">
        <is>
          <t>Nettoyage &gt; Équipement de nettoyage</t>
        </is>
      </c>
      <c r="D40" s="8" t="inlineStr">
        <is>
          <t>Serpillière</t>
        </is>
      </c>
      <c r="E40" s="8" t="inlineStr"/>
      <c r="F40" s="8" t="inlineStr"/>
      <c r="G40" s="8" t="inlineStr">
        <is>
          <t>unit</t>
        </is>
      </c>
      <c r="H40" s="14" t="n">
        <v>0</v>
      </c>
      <c r="I40" s="16" t="n"/>
      <c r="J40" s="17">
        <f>IF(I40="","",I40-H40)</f>
        <v/>
      </c>
      <c r="K40" s="18" t="n">
        <v>13</v>
      </c>
      <c r="L40" s="19">
        <f>IF(I40="","",I40*K40)</f>
        <v/>
      </c>
      <c r="M40" s="19">
        <f>IF(J40="","",J40*K40)</f>
        <v/>
      </c>
      <c r="N40" s="9" t="n"/>
    </row>
    <row r="41">
      <c r="A41" s="8" t="n">
        <v>35</v>
      </c>
      <c r="B41" s="8" t="inlineStr">
        <is>
          <t>Non classe (a rattacher)</t>
        </is>
      </c>
      <c r="C41" s="8" t="inlineStr">
        <is>
          <t>Autre</t>
        </is>
      </c>
      <c r="D41" s="8" t="inlineStr">
        <is>
          <t>Alo</t>
        </is>
      </c>
      <c r="E41" s="8" t="inlineStr"/>
      <c r="F41" s="8" t="inlineStr"/>
      <c r="G41" s="8" t="inlineStr">
        <is>
          <t>unit</t>
        </is>
      </c>
      <c r="H41" s="14" t="n">
        <v>0</v>
      </c>
      <c r="I41" s="16" t="n"/>
      <c r="J41" s="17">
        <f>IF(I41="","",I41-H41)</f>
        <v/>
      </c>
      <c r="K41" s="18" t="n">
        <v>15</v>
      </c>
      <c r="L41" s="19">
        <f>IF(I41="","",I41*K41)</f>
        <v/>
      </c>
      <c r="M41" s="19">
        <f>IF(J41="","",J41*K41)</f>
        <v/>
      </c>
      <c r="N41" s="9" t="n"/>
    </row>
    <row r="42">
      <c r="A42" s="8" t="n">
        <v>36</v>
      </c>
      <c r="B42" s="8" t="inlineStr">
        <is>
          <t>Non classe (a rattacher)</t>
        </is>
      </c>
      <c r="C42" s="8" t="inlineStr">
        <is>
          <t>Autre</t>
        </is>
      </c>
      <c r="D42" s="8" t="inlineStr">
        <is>
          <t>Assiettes en plastique</t>
        </is>
      </c>
      <c r="E42" s="8" t="inlineStr"/>
      <c r="F42" s="8" t="inlineStr"/>
      <c r="G42" s="8" t="inlineStr">
        <is>
          <t>kg</t>
        </is>
      </c>
      <c r="H42" s="14" t="n">
        <v>0</v>
      </c>
      <c r="I42" s="16" t="n"/>
      <c r="J42" s="17">
        <f>IF(I42="","",I42-H42)</f>
        <v/>
      </c>
      <c r="K42" s="18" t="n">
        <v>20</v>
      </c>
      <c r="L42" s="19">
        <f>IF(I42="","",I42*K42)</f>
        <v/>
      </c>
      <c r="M42" s="19">
        <f>IF(J42="","",J42*K42)</f>
        <v/>
      </c>
      <c r="N42" s="9" t="n"/>
    </row>
    <row r="43">
      <c r="A43" s="8" t="n">
        <v>37</v>
      </c>
      <c r="B43" s="8" t="inlineStr">
        <is>
          <t>Non classe (a rattacher)</t>
        </is>
      </c>
      <c r="C43" s="8" t="inlineStr">
        <is>
          <t>Autre</t>
        </is>
      </c>
      <c r="D43" s="8" t="inlineStr">
        <is>
          <t>Barquette</t>
        </is>
      </c>
      <c r="E43" s="8" t="inlineStr"/>
      <c r="F43" s="8" t="inlineStr"/>
      <c r="G43" s="8" t="inlineStr">
        <is>
          <t>kg</t>
        </is>
      </c>
      <c r="H43" s="14" t="n">
        <v>0</v>
      </c>
      <c r="I43" s="16" t="n"/>
      <c r="J43" s="17">
        <f>IF(I43="","",I43-H43)</f>
        <v/>
      </c>
      <c r="K43" s="18" t="n">
        <v>0</v>
      </c>
      <c r="L43" s="19">
        <f>IF(I43="","",I43*K43)</f>
        <v/>
      </c>
      <c r="M43" s="19">
        <f>IF(J43="","",J43*K43)</f>
        <v/>
      </c>
      <c r="N43" s="9" t="n"/>
    </row>
    <row r="44">
      <c r="A44" s="8" t="n">
        <v>38</v>
      </c>
      <c r="B44" s="8" t="inlineStr">
        <is>
          <t>Non classe (a rattacher)</t>
        </is>
      </c>
      <c r="C44" s="8" t="inlineStr">
        <is>
          <t>Autre</t>
        </is>
      </c>
      <c r="D44" s="8" t="inlineStr">
        <is>
          <t>Barquette</t>
        </is>
      </c>
      <c r="E44" s="8" t="inlineStr"/>
      <c r="F44" s="8" t="inlineStr"/>
      <c r="G44" s="8" t="inlineStr">
        <is>
          <t>unit</t>
        </is>
      </c>
      <c r="H44" s="14" t="n">
        <v>0</v>
      </c>
      <c r="I44" s="16" t="n"/>
      <c r="J44" s="17">
        <f>IF(I44="","",I44-H44)</f>
        <v/>
      </c>
      <c r="K44" s="18" t="n">
        <v>0.5</v>
      </c>
      <c r="L44" s="19">
        <f>IF(I44="","",I44*K44)</f>
        <v/>
      </c>
      <c r="M44" s="19">
        <f>IF(J44="","",J44*K44)</f>
        <v/>
      </c>
      <c r="N44" s="9" t="n"/>
    </row>
    <row r="45">
      <c r="A45" s="8" t="n">
        <v>39</v>
      </c>
      <c r="B45" s="8" t="inlineStr">
        <is>
          <t>Non classe (a rattacher)</t>
        </is>
      </c>
      <c r="C45" s="8" t="inlineStr">
        <is>
          <t>Autre</t>
        </is>
      </c>
      <c r="D45" s="8" t="inlineStr">
        <is>
          <t>Boitr de presentation pour confiseries</t>
        </is>
      </c>
      <c r="E45" s="8" t="inlineStr"/>
      <c r="F45" s="8" t="inlineStr"/>
      <c r="G45" s="8" t="inlineStr">
        <is>
          <t>unit</t>
        </is>
      </c>
      <c r="H45" s="14" t="n">
        <v>0</v>
      </c>
      <c r="I45" s="16" t="n"/>
      <c r="J45" s="17">
        <f>IF(I45="","",I45-H45)</f>
        <v/>
      </c>
      <c r="K45" s="18" t="n">
        <v>223.333</v>
      </c>
      <c r="L45" s="19">
        <f>IF(I45="","",I45*K45)</f>
        <v/>
      </c>
      <c r="M45" s="19">
        <f>IF(J45="","",J45*K45)</f>
        <v/>
      </c>
      <c r="N45" s="9" t="n"/>
    </row>
    <row r="46">
      <c r="A46" s="8" t="n">
        <v>40</v>
      </c>
      <c r="B46" s="8" t="inlineStr">
        <is>
          <t>Non classe (a rattacher)</t>
        </is>
      </c>
      <c r="C46" s="8" t="inlineStr">
        <is>
          <t>Autre</t>
        </is>
      </c>
      <c r="D46" s="8" t="inlineStr">
        <is>
          <t>CADRE A MOUSSE INOX 60*40</t>
        </is>
      </c>
      <c r="E46" s="8" t="inlineStr"/>
      <c r="F46" s="8" t="inlineStr"/>
      <c r="G46" s="8" t="inlineStr">
        <is>
          <t>unit</t>
        </is>
      </c>
      <c r="H46" s="14" t="n">
        <v>0</v>
      </c>
      <c r="I46" s="16" t="n"/>
      <c r="J46" s="17">
        <f>IF(I46="","",I46-H46)</f>
        <v/>
      </c>
      <c r="K46" s="18" t="n">
        <v>95</v>
      </c>
      <c r="L46" s="19">
        <f>IF(I46="","",I46*K46)</f>
        <v/>
      </c>
      <c r="M46" s="19">
        <f>IF(J46="","",J46*K46)</f>
        <v/>
      </c>
      <c r="N46" s="9" t="n"/>
    </row>
    <row r="47">
      <c r="A47" s="8" t="n">
        <v>41</v>
      </c>
      <c r="B47" s="8" t="inlineStr">
        <is>
          <t>Non classe (a rattacher)</t>
        </is>
      </c>
      <c r="C47" s="8" t="inlineStr">
        <is>
          <t>Autre</t>
        </is>
      </c>
      <c r="D47" s="8" t="inlineStr">
        <is>
          <t>Cadre a entremets 20cm h 4</t>
        </is>
      </c>
      <c r="E47" s="8" t="inlineStr"/>
      <c r="F47" s="8" t="inlineStr"/>
      <c r="G47" s="8" t="inlineStr">
        <is>
          <t>unit</t>
        </is>
      </c>
      <c r="H47" s="14" t="n">
        <v>0</v>
      </c>
      <c r="I47" s="16" t="n"/>
      <c r="J47" s="17">
        <f>IF(I47="","",I47-H47)</f>
        <v/>
      </c>
      <c r="K47" s="18" t="n">
        <v>0</v>
      </c>
      <c r="L47" s="19">
        <f>IF(I47="","",I47*K47)</f>
        <v/>
      </c>
      <c r="M47" s="19">
        <f>IF(J47="","",J47*K47)</f>
        <v/>
      </c>
      <c r="N47" s="9" t="n"/>
    </row>
    <row r="48">
      <c r="A48" s="8" t="n">
        <v>42</v>
      </c>
      <c r="B48" s="8" t="inlineStr">
        <is>
          <t>Non classe (a rattacher)</t>
        </is>
      </c>
      <c r="C48" s="8" t="inlineStr">
        <is>
          <t>Autre</t>
        </is>
      </c>
      <c r="D48" s="8" t="inlineStr">
        <is>
          <t>Cadre a entremets 22cm h 6</t>
        </is>
      </c>
      <c r="E48" s="8" t="inlineStr"/>
      <c r="F48" s="8" t="inlineStr"/>
      <c r="G48" s="8" t="inlineStr">
        <is>
          <t>unit</t>
        </is>
      </c>
      <c r="H48" s="14" t="n">
        <v>0</v>
      </c>
      <c r="I48" s="16" t="n"/>
      <c r="J48" s="17">
        <f>IF(I48="","",I48-H48)</f>
        <v/>
      </c>
      <c r="K48" s="18" t="n">
        <v>0</v>
      </c>
      <c r="L48" s="19">
        <f>IF(I48="","",I48*K48)</f>
        <v/>
      </c>
      <c r="M48" s="19">
        <f>IF(J48="","",J48*K48)</f>
        <v/>
      </c>
      <c r="N48" s="9" t="n"/>
    </row>
    <row r="49">
      <c r="A49" s="8" t="n">
        <v>43</v>
      </c>
      <c r="B49" s="8" t="inlineStr">
        <is>
          <t>Non classe (a rattacher)</t>
        </is>
      </c>
      <c r="C49" s="8" t="inlineStr">
        <is>
          <t>Autre</t>
        </is>
      </c>
      <c r="D49" s="8" t="inlineStr">
        <is>
          <t>Cadre a mousse inox 60*40*3</t>
        </is>
      </c>
      <c r="E49" s="8" t="inlineStr"/>
      <c r="F49" s="8" t="inlineStr"/>
      <c r="G49" s="8" t="inlineStr">
        <is>
          <t>unit</t>
        </is>
      </c>
      <c r="H49" s="14" t="n">
        <v>0</v>
      </c>
      <c r="I49" s="16" t="n"/>
      <c r="J49" s="17">
        <f>IF(I49="","",I49-H49)</f>
        <v/>
      </c>
      <c r="K49" s="18" t="n">
        <v>95</v>
      </c>
      <c r="L49" s="19">
        <f>IF(I49="","",I49*K49)</f>
        <v/>
      </c>
      <c r="M49" s="19">
        <f>IF(J49="","",J49*K49)</f>
        <v/>
      </c>
      <c r="N49" s="9" t="n"/>
    </row>
    <row r="50">
      <c r="A50" s="8" t="n">
        <v>44</v>
      </c>
      <c r="B50" s="8" t="inlineStr">
        <is>
          <t>Non classe (a rattacher)</t>
        </is>
      </c>
      <c r="C50" s="8" t="inlineStr">
        <is>
          <t>Autre</t>
        </is>
      </c>
      <c r="D50" s="8" t="inlineStr">
        <is>
          <t>Cadre a mousse inox 60*40*4</t>
        </is>
      </c>
      <c r="E50" s="8" t="inlineStr"/>
      <c r="F50" s="8" t="inlineStr"/>
      <c r="G50" s="8" t="inlineStr">
        <is>
          <t>unit</t>
        </is>
      </c>
      <c r="H50" s="14" t="n">
        <v>0</v>
      </c>
      <c r="I50" s="16" t="n"/>
      <c r="J50" s="17">
        <f>IF(I50="","",I50-H50)</f>
        <v/>
      </c>
      <c r="K50" s="18" t="n">
        <v>0</v>
      </c>
      <c r="L50" s="19">
        <f>IF(I50="","",I50*K50)</f>
        <v/>
      </c>
      <c r="M50" s="19">
        <f>IF(J50="","",J50*K50)</f>
        <v/>
      </c>
      <c r="N50" s="9" t="n"/>
    </row>
    <row r="51">
      <c r="A51" s="8" t="n">
        <v>45</v>
      </c>
      <c r="B51" s="8" t="inlineStr">
        <is>
          <t>Non classe (a rattacher)</t>
        </is>
      </c>
      <c r="C51" s="8" t="inlineStr">
        <is>
          <t>Autre</t>
        </is>
      </c>
      <c r="D51" s="8" t="inlineStr">
        <is>
          <t>Cahier de bons</t>
        </is>
      </c>
      <c r="E51" s="8" t="inlineStr"/>
      <c r="F51" s="8" t="inlineStr"/>
      <c r="G51" s="8" t="inlineStr">
        <is>
          <t>unit</t>
        </is>
      </c>
      <c r="H51" s="14" t="n">
        <v>0</v>
      </c>
      <c r="I51" s="16" t="n"/>
      <c r="J51" s="17">
        <f>IF(I51="","",I51-H51)</f>
        <v/>
      </c>
      <c r="K51" s="18" t="n">
        <v>10</v>
      </c>
      <c r="L51" s="19">
        <f>IF(I51="","",I51*K51)</f>
        <v/>
      </c>
      <c r="M51" s="19">
        <f>IF(J51="","",J51*K51)</f>
        <v/>
      </c>
      <c r="N51" s="9" t="n"/>
    </row>
    <row r="52">
      <c r="A52" s="8" t="n">
        <v>46</v>
      </c>
      <c r="B52" s="8" t="inlineStr">
        <is>
          <t>Non classe (a rattacher)</t>
        </is>
      </c>
      <c r="C52" s="8" t="inlineStr">
        <is>
          <t>Autre</t>
        </is>
      </c>
      <c r="D52" s="8" t="inlineStr">
        <is>
          <t>Cercles inox</t>
        </is>
      </c>
      <c r="E52" s="8" t="inlineStr"/>
      <c r="F52" s="8" t="inlineStr"/>
      <c r="G52" s="8" t="inlineStr">
        <is>
          <t>unit</t>
        </is>
      </c>
      <c r="H52" s="14" t="n">
        <v>0</v>
      </c>
      <c r="I52" s="16" t="n"/>
      <c r="J52" s="17">
        <f>IF(I52="","",I52-H52)</f>
        <v/>
      </c>
      <c r="K52" s="18" t="n">
        <v>12</v>
      </c>
      <c r="L52" s="19">
        <f>IF(I52="","",I52*K52)</f>
        <v/>
      </c>
      <c r="M52" s="19">
        <f>IF(J52="","",J52*K52)</f>
        <v/>
      </c>
      <c r="N52" s="9" t="n"/>
    </row>
    <row r="53">
      <c r="A53" s="8" t="n">
        <v>47</v>
      </c>
      <c r="B53" s="8" t="inlineStr">
        <is>
          <t>Non classe (a rattacher)</t>
        </is>
      </c>
      <c r="C53" s="8" t="inlineStr">
        <is>
          <t>Autre</t>
        </is>
      </c>
      <c r="D53" s="8" t="inlineStr">
        <is>
          <t>Chargeur</t>
        </is>
      </c>
      <c r="E53" s="8" t="inlineStr"/>
      <c r="F53" s="8" t="inlineStr"/>
      <c r="G53" s="8" t="inlineStr">
        <is>
          <t>unit</t>
        </is>
      </c>
      <c r="H53" s="14" t="n">
        <v>0</v>
      </c>
      <c r="I53" s="16" t="n"/>
      <c r="J53" s="17">
        <f>IF(I53="","",I53-H53)</f>
        <v/>
      </c>
      <c r="K53" s="18" t="n">
        <v>80</v>
      </c>
      <c r="L53" s="19">
        <f>IF(I53="","",I53*K53)</f>
        <v/>
      </c>
      <c r="M53" s="19">
        <f>IF(J53="","",J53*K53)</f>
        <v/>
      </c>
      <c r="N53" s="9" t="n"/>
    </row>
    <row r="54">
      <c r="A54" s="8" t="n">
        <v>48</v>
      </c>
      <c r="B54" s="8" t="inlineStr">
        <is>
          <t>Non classe (a rattacher)</t>
        </is>
      </c>
      <c r="C54" s="8" t="inlineStr">
        <is>
          <t>Autre</t>
        </is>
      </c>
      <c r="D54" s="8" t="inlineStr">
        <is>
          <t>Chiffon de nettoyage</t>
        </is>
      </c>
      <c r="E54" s="8" t="inlineStr"/>
      <c r="F54" s="8" t="inlineStr"/>
      <c r="G54" s="8" t="inlineStr">
        <is>
          <t>unit</t>
        </is>
      </c>
      <c r="H54" s="14" t="n">
        <v>0</v>
      </c>
      <c r="I54" s="16" t="n"/>
      <c r="J54" s="17">
        <f>IF(I54="","",I54-H54)</f>
        <v/>
      </c>
      <c r="K54" s="18" t="n">
        <v>12</v>
      </c>
      <c r="L54" s="19">
        <f>IF(I54="","",I54*K54)</f>
        <v/>
      </c>
      <c r="M54" s="19">
        <f>IF(J54="","",J54*K54)</f>
        <v/>
      </c>
      <c r="N54" s="9" t="n"/>
    </row>
    <row r="55">
      <c r="A55" s="8" t="n">
        <v>49</v>
      </c>
      <c r="B55" s="8" t="inlineStr">
        <is>
          <t>Non classe (a rattacher)</t>
        </is>
      </c>
      <c r="C55" s="8" t="inlineStr">
        <is>
          <t>Autre</t>
        </is>
      </c>
      <c r="D55" s="8" t="inlineStr">
        <is>
          <t>Chiffon de sol</t>
        </is>
      </c>
      <c r="E55" s="8" t="inlineStr"/>
      <c r="F55" s="8" t="inlineStr"/>
      <c r="G55" s="8" t="inlineStr">
        <is>
          <t>unit</t>
        </is>
      </c>
      <c r="H55" s="14" t="n">
        <v>0</v>
      </c>
      <c r="I55" s="16" t="n"/>
      <c r="J55" s="17">
        <f>IF(I55="","",I55-H55)</f>
        <v/>
      </c>
      <c r="K55" s="18" t="n">
        <v>15</v>
      </c>
      <c r="L55" s="19">
        <f>IF(I55="","",I55*K55)</f>
        <v/>
      </c>
      <c r="M55" s="19">
        <f>IF(J55="","",J55*K55)</f>
        <v/>
      </c>
      <c r="N55" s="9" t="n"/>
    </row>
    <row r="56">
      <c r="A56" s="8" t="n">
        <v>50</v>
      </c>
      <c r="B56" s="8" t="inlineStr">
        <is>
          <t>Non classe (a rattacher)</t>
        </is>
      </c>
      <c r="C56" s="8" t="inlineStr">
        <is>
          <t>Autre</t>
        </is>
      </c>
      <c r="D56" s="8" t="inlineStr">
        <is>
          <t>Clé plate</t>
        </is>
      </c>
      <c r="E56" s="8" t="inlineStr"/>
      <c r="F56" s="8" t="inlineStr"/>
      <c r="G56" s="8" t="inlineStr">
        <is>
          <t>unit</t>
        </is>
      </c>
      <c r="H56" s="14" t="n">
        <v>0</v>
      </c>
      <c r="I56" s="16" t="n"/>
      <c r="J56" s="17">
        <f>IF(I56="","",I56-H56)</f>
        <v/>
      </c>
      <c r="K56" s="18" t="n">
        <v>90</v>
      </c>
      <c r="L56" s="19">
        <f>IF(I56="","",I56*K56)</f>
        <v/>
      </c>
      <c r="M56" s="19">
        <f>IF(J56="","",J56*K56)</f>
        <v/>
      </c>
      <c r="N56" s="9" t="n"/>
    </row>
    <row r="57">
      <c r="A57" s="8" t="n">
        <v>51</v>
      </c>
      <c r="B57" s="8" t="inlineStr">
        <is>
          <t>Non classe (a rattacher)</t>
        </is>
      </c>
      <c r="C57" s="8" t="inlineStr">
        <is>
          <t>Autre</t>
        </is>
      </c>
      <c r="D57" s="8" t="inlineStr">
        <is>
          <t>Douilles de décoration</t>
        </is>
      </c>
      <c r="E57" s="8" t="inlineStr"/>
      <c r="F57" s="8" t="inlineStr"/>
      <c r="G57" s="8" t="inlineStr">
        <is>
          <t>kg</t>
        </is>
      </c>
      <c r="H57" s="14" t="n">
        <v>0</v>
      </c>
      <c r="I57" s="16" t="n"/>
      <c r="J57" s="17">
        <f>IF(I57="","",I57-H57)</f>
        <v/>
      </c>
      <c r="K57" s="18" t="n">
        <v>3</v>
      </c>
      <c r="L57" s="19">
        <f>IF(I57="","",I57*K57)</f>
        <v/>
      </c>
      <c r="M57" s="19">
        <f>IF(J57="","",J57*K57)</f>
        <v/>
      </c>
      <c r="N57" s="9" t="n"/>
    </row>
    <row r="58">
      <c r="A58" s="8" t="n">
        <v>52</v>
      </c>
      <c r="B58" s="8" t="inlineStr">
        <is>
          <t>Non classe (a rattacher)</t>
        </is>
      </c>
      <c r="C58" s="8" t="inlineStr">
        <is>
          <t>Autre</t>
        </is>
      </c>
      <c r="D58" s="8" t="inlineStr">
        <is>
          <t>EAU DE JAVEL</t>
        </is>
      </c>
      <c r="E58" s="8" t="inlineStr"/>
      <c r="F58" s="8" t="inlineStr"/>
      <c r="G58" s="8" t="inlineStr">
        <is>
          <t>kg</t>
        </is>
      </c>
      <c r="H58" s="14" t="n">
        <v>0</v>
      </c>
      <c r="I58" s="16" t="n"/>
      <c r="J58" s="17">
        <f>IF(I58="","",I58-H58)</f>
        <v/>
      </c>
      <c r="K58" s="18" t="n">
        <v>18</v>
      </c>
      <c r="L58" s="19">
        <f>IF(I58="","",I58*K58)</f>
        <v/>
      </c>
      <c r="M58" s="19">
        <f>IF(J58="","",J58*K58)</f>
        <v/>
      </c>
      <c r="N58" s="9" t="n"/>
    </row>
    <row r="59">
      <c r="A59" s="8" t="n">
        <v>53</v>
      </c>
      <c r="B59" s="8" t="inlineStr">
        <is>
          <t>Non classe (a rattacher)</t>
        </is>
      </c>
      <c r="C59" s="8" t="inlineStr">
        <is>
          <t>Autre</t>
        </is>
      </c>
      <c r="D59" s="8" t="inlineStr">
        <is>
          <t>Emballages</t>
        </is>
      </c>
      <c r="E59" s="8" t="inlineStr"/>
      <c r="F59" s="8" t="inlineStr"/>
      <c r="G59" s="8" t="inlineStr">
        <is>
          <t>kg</t>
        </is>
      </c>
      <c r="H59" s="14" t="n">
        <v>0</v>
      </c>
      <c r="I59" s="16" t="n"/>
      <c r="J59" s="17">
        <f>IF(I59="","",I59-H59)</f>
        <v/>
      </c>
      <c r="K59" s="18" t="n">
        <v>0</v>
      </c>
      <c r="L59" s="19">
        <f>IF(I59="","",I59*K59)</f>
        <v/>
      </c>
      <c r="M59" s="19">
        <f>IF(J59="","",J59*K59)</f>
        <v/>
      </c>
      <c r="N59" s="9" t="n"/>
    </row>
    <row r="60">
      <c r="A60" s="8" t="n">
        <v>54</v>
      </c>
      <c r="B60" s="8" t="inlineStr">
        <is>
          <t>Non classe (a rattacher)</t>
        </is>
      </c>
      <c r="C60" s="8" t="inlineStr">
        <is>
          <t>Autre</t>
        </is>
      </c>
      <c r="D60" s="8" t="inlineStr">
        <is>
          <t>Eponge métallique</t>
        </is>
      </c>
      <c r="E60" s="8" t="inlineStr"/>
      <c r="F60" s="8" t="inlineStr"/>
      <c r="G60" s="8" t="inlineStr">
        <is>
          <t>unit</t>
        </is>
      </c>
      <c r="H60" s="14" t="n">
        <v>0</v>
      </c>
      <c r="I60" s="16" t="n"/>
      <c r="J60" s="17">
        <f>IF(I60="","",I60-H60)</f>
        <v/>
      </c>
      <c r="K60" s="18" t="n">
        <v>5</v>
      </c>
      <c r="L60" s="19">
        <f>IF(I60="","",I60*K60)</f>
        <v/>
      </c>
      <c r="M60" s="19">
        <f>IF(J60="","",J60*K60)</f>
        <v/>
      </c>
      <c r="N60" s="9" t="n"/>
    </row>
    <row r="61">
      <c r="A61" s="8" t="n">
        <v>55</v>
      </c>
      <c r="B61" s="8" t="inlineStr">
        <is>
          <t>Non classe (a rattacher)</t>
        </is>
      </c>
      <c r="C61" s="8" t="inlineStr">
        <is>
          <t>Autre</t>
        </is>
      </c>
      <c r="D61" s="8" t="inlineStr">
        <is>
          <t>Eponge à récurer</t>
        </is>
      </c>
      <c r="E61" s="8" t="inlineStr"/>
      <c r="F61" s="8" t="inlineStr"/>
      <c r="G61" s="8" t="inlineStr">
        <is>
          <t>unit</t>
        </is>
      </c>
      <c r="H61" s="14" t="n">
        <v>0</v>
      </c>
      <c r="I61" s="16" t="n"/>
      <c r="J61" s="17">
        <f>IF(I61="","",I61-H61)</f>
        <v/>
      </c>
      <c r="K61" s="18" t="n">
        <v>1</v>
      </c>
      <c r="L61" s="19">
        <f>IF(I61="","",I61*K61)</f>
        <v/>
      </c>
      <c r="M61" s="19">
        <f>IF(J61="","",J61*K61)</f>
        <v/>
      </c>
      <c r="N61" s="9" t="n"/>
    </row>
    <row r="62">
      <c r="A62" s="8" t="n">
        <v>56</v>
      </c>
      <c r="B62" s="8" t="inlineStr">
        <is>
          <t>Non classe (a rattacher)</t>
        </is>
      </c>
      <c r="C62" s="8" t="inlineStr">
        <is>
          <t>Autre</t>
        </is>
      </c>
      <c r="D62" s="8" t="inlineStr">
        <is>
          <t>Fekkas juif</t>
        </is>
      </c>
      <c r="E62" s="8" t="inlineStr"/>
      <c r="F62" s="8" t="inlineStr"/>
      <c r="G62" s="8" t="inlineStr">
        <is>
          <t>unit</t>
        </is>
      </c>
      <c r="H62" s="14" t="n">
        <v>0</v>
      </c>
      <c r="I62" s="16" t="n"/>
      <c r="J62" s="17">
        <f>IF(I62="","",I62-H62)</f>
        <v/>
      </c>
      <c r="K62" s="18" t="n">
        <v>10</v>
      </c>
      <c r="L62" s="19">
        <f>IF(I62="","",I62*K62)</f>
        <v/>
      </c>
      <c r="M62" s="19">
        <f>IF(J62="","",J62*K62)</f>
        <v/>
      </c>
      <c r="N62" s="9" t="n"/>
    </row>
    <row r="63">
      <c r="A63" s="8" t="n">
        <v>57</v>
      </c>
      <c r="B63" s="8" t="inlineStr">
        <is>
          <t>Non classe (a rattacher)</t>
        </is>
      </c>
      <c r="C63" s="8" t="inlineStr">
        <is>
          <t>Autre</t>
        </is>
      </c>
      <c r="D63" s="8" t="inlineStr">
        <is>
          <t>Feuillage artificielle</t>
        </is>
      </c>
      <c r="E63" s="8" t="inlineStr"/>
      <c r="F63" s="8" t="inlineStr"/>
      <c r="G63" s="8" t="inlineStr">
        <is>
          <t>unit</t>
        </is>
      </c>
      <c r="H63" s="14" t="n">
        <v>0</v>
      </c>
      <c r="I63" s="16" t="n"/>
      <c r="J63" s="17">
        <f>IF(I63="","",I63-H63)</f>
        <v/>
      </c>
      <c r="K63" s="18" t="n">
        <v>100</v>
      </c>
      <c r="L63" s="19">
        <f>IF(I63="","",I63*K63)</f>
        <v/>
      </c>
      <c r="M63" s="19">
        <f>IF(J63="","",J63*K63)</f>
        <v/>
      </c>
      <c r="N63" s="9" t="n"/>
    </row>
    <row r="64">
      <c r="A64" s="8" t="n">
        <v>58</v>
      </c>
      <c r="B64" s="8" t="inlineStr">
        <is>
          <t>Non classe (a rattacher)</t>
        </is>
      </c>
      <c r="C64" s="8" t="inlineStr">
        <is>
          <t>Autre</t>
        </is>
      </c>
      <c r="D64" s="8" t="inlineStr">
        <is>
          <t>Film cellophane</t>
        </is>
      </c>
      <c r="E64" s="8" t="inlineStr"/>
      <c r="F64" s="8" t="inlineStr"/>
      <c r="G64" s="8" t="inlineStr">
        <is>
          <t>unit</t>
        </is>
      </c>
      <c r="H64" s="14" t="n">
        <v>0</v>
      </c>
      <c r="I64" s="16" t="n"/>
      <c r="J64" s="17">
        <f>IF(I64="","",I64-H64)</f>
        <v/>
      </c>
      <c r="K64" s="18" t="n">
        <v>68</v>
      </c>
      <c r="L64" s="19">
        <f>IF(I64="","",I64*K64)</f>
        <v/>
      </c>
      <c r="M64" s="19">
        <f>IF(J64="","",J64*K64)</f>
        <v/>
      </c>
      <c r="N64" s="9" t="n"/>
    </row>
    <row r="65">
      <c r="A65" s="8" t="n">
        <v>59</v>
      </c>
      <c r="B65" s="8" t="inlineStr">
        <is>
          <t>Non classe (a rattacher)</t>
        </is>
      </c>
      <c r="C65" s="8" t="inlineStr">
        <is>
          <t>Autre</t>
        </is>
      </c>
      <c r="D65" s="8" t="inlineStr">
        <is>
          <t>Film cellophane</t>
        </is>
      </c>
      <c r="E65" s="8" t="inlineStr"/>
      <c r="F65" s="8" t="inlineStr"/>
      <c r="G65" s="8" t="inlineStr">
        <is>
          <t>unit</t>
        </is>
      </c>
      <c r="H65" s="14" t="n">
        <v>0</v>
      </c>
      <c r="I65" s="16" t="n"/>
      <c r="J65" s="17">
        <f>IF(I65="","",I65-H65)</f>
        <v/>
      </c>
      <c r="K65" s="18" t="n">
        <v>57.5</v>
      </c>
      <c r="L65" s="19">
        <f>IF(I65="","",I65*K65)</f>
        <v/>
      </c>
      <c r="M65" s="19">
        <f>IF(J65="","",J65*K65)</f>
        <v/>
      </c>
      <c r="N65" s="9" t="n"/>
    </row>
    <row r="66">
      <c r="A66" s="8" t="n">
        <v>60</v>
      </c>
      <c r="B66" s="8" t="inlineStr">
        <is>
          <t>Non classe (a rattacher)</t>
        </is>
      </c>
      <c r="C66" s="8" t="inlineStr">
        <is>
          <t>Autre</t>
        </is>
      </c>
      <c r="D66" s="8" t="inlineStr">
        <is>
          <t>Film plastique pour plaques 40*60</t>
        </is>
      </c>
      <c r="E66" s="8" t="inlineStr"/>
      <c r="F66" s="8" t="inlineStr"/>
      <c r="G66" s="8" t="inlineStr">
        <is>
          <t>unit</t>
        </is>
      </c>
      <c r="H66" s="14" t="n">
        <v>0</v>
      </c>
      <c r="I66" s="16" t="n"/>
      <c r="J66" s="17">
        <f>IF(I66="","",I66-H66)</f>
        <v/>
      </c>
      <c r="K66" s="18" t="n">
        <v>200</v>
      </c>
      <c r="L66" s="19">
        <f>IF(I66="","",I66*K66)</f>
        <v/>
      </c>
      <c r="M66" s="19">
        <f>IF(J66="","",J66*K66)</f>
        <v/>
      </c>
      <c r="N66" s="9" t="n"/>
    </row>
    <row r="67">
      <c r="A67" s="8" t="n">
        <v>61</v>
      </c>
      <c r="B67" s="8" t="inlineStr">
        <is>
          <t>Non classe (a rattacher)</t>
        </is>
      </c>
      <c r="C67" s="8" t="inlineStr">
        <is>
          <t>Autre</t>
        </is>
      </c>
      <c r="D67" s="8" t="inlineStr">
        <is>
          <t>Gaz</t>
        </is>
      </c>
      <c r="E67" s="8" t="inlineStr"/>
      <c r="F67" s="8" t="inlineStr"/>
      <c r="G67" s="8" t="inlineStr">
        <is>
          <t>unit</t>
        </is>
      </c>
      <c r="H67" s="14" t="n">
        <v>0</v>
      </c>
      <c r="I67" s="16" t="n"/>
      <c r="J67" s="17">
        <f>IF(I67="","",I67-H67)</f>
        <v/>
      </c>
      <c r="K67" s="18" t="n">
        <v>12</v>
      </c>
      <c r="L67" s="19">
        <f>IF(I67="","",I67*K67)</f>
        <v/>
      </c>
      <c r="M67" s="19">
        <f>IF(J67="","",J67*K67)</f>
        <v/>
      </c>
      <c r="N67" s="9" t="n"/>
    </row>
    <row r="68">
      <c r="A68" s="8" t="n">
        <v>62</v>
      </c>
      <c r="B68" s="8" t="inlineStr">
        <is>
          <t>Non classe (a rattacher)</t>
        </is>
      </c>
      <c r="C68" s="8" t="inlineStr">
        <is>
          <t>Autre</t>
        </is>
      </c>
      <c r="D68" s="8" t="inlineStr">
        <is>
          <t>Kit tuyaux helijardim costa nova rlx:25x</t>
        </is>
      </c>
      <c r="E68" s="8" t="inlineStr"/>
      <c r="F68" s="8" t="inlineStr"/>
      <c r="G68" s="8" t="inlineStr">
        <is>
          <t>unit</t>
        </is>
      </c>
      <c r="H68" s="14" t="n">
        <v>0</v>
      </c>
      <c r="I68" s="16" t="n"/>
      <c r="J68" s="17">
        <f>IF(I68="","",I68-H68)</f>
        <v/>
      </c>
      <c r="K68" s="18" t="n">
        <v>425</v>
      </c>
      <c r="L68" s="19">
        <f>IF(I68="","",I68*K68)</f>
        <v/>
      </c>
      <c r="M68" s="19">
        <f>IF(J68="","",J68*K68)</f>
        <v/>
      </c>
      <c r="N68" s="9" t="n"/>
    </row>
    <row r="69">
      <c r="A69" s="8" t="n">
        <v>63</v>
      </c>
      <c r="B69" s="8" t="inlineStr">
        <is>
          <t>Non classe (a rattacher)</t>
        </is>
      </c>
      <c r="C69" s="8" t="inlineStr">
        <is>
          <t>Autre</t>
        </is>
      </c>
      <c r="D69" s="8" t="inlineStr">
        <is>
          <t>Languette carré</t>
        </is>
      </c>
      <c r="E69" s="8" t="inlineStr"/>
      <c r="F69" s="8" t="inlineStr"/>
      <c r="G69" s="8" t="inlineStr">
        <is>
          <t>unit</t>
        </is>
      </c>
      <c r="H69" s="14" t="n">
        <v>0</v>
      </c>
      <c r="I69" s="16" t="n"/>
      <c r="J69" s="17">
        <f>IF(I69="","",I69-H69)</f>
        <v/>
      </c>
      <c r="K69" s="18" t="n">
        <v>0.25</v>
      </c>
      <c r="L69" s="19">
        <f>IF(I69="","",I69*K69)</f>
        <v/>
      </c>
      <c r="M69" s="19">
        <f>IF(J69="","",J69*K69)</f>
        <v/>
      </c>
      <c r="N69" s="9" t="n"/>
    </row>
    <row r="70">
      <c r="A70" s="8" t="n">
        <v>64</v>
      </c>
      <c r="B70" s="8" t="inlineStr">
        <is>
          <t>Non classe (a rattacher)</t>
        </is>
      </c>
      <c r="C70" s="8" t="inlineStr">
        <is>
          <t>Autre</t>
        </is>
      </c>
      <c r="D70" s="8" t="inlineStr">
        <is>
          <t>Languette carré 18</t>
        </is>
      </c>
      <c r="E70" s="8" t="inlineStr"/>
      <c r="F70" s="8" t="inlineStr"/>
      <c r="G70" s="8" t="inlineStr">
        <is>
          <t>unit</t>
        </is>
      </c>
      <c r="H70" s="14" t="n">
        <v>0</v>
      </c>
      <c r="I70" s="16" t="n"/>
      <c r="J70" s="17">
        <f>IF(I70="","",I70-H70)</f>
        <v/>
      </c>
      <c r="K70" s="18" t="n">
        <v>1</v>
      </c>
      <c r="L70" s="19">
        <f>IF(I70="","",I70*K70)</f>
        <v/>
      </c>
      <c r="M70" s="19">
        <f>IF(J70="","",J70*K70)</f>
        <v/>
      </c>
      <c r="N70" s="9" t="n"/>
    </row>
    <row r="71">
      <c r="A71" s="8" t="n">
        <v>65</v>
      </c>
      <c r="B71" s="8" t="inlineStr">
        <is>
          <t>Non classe (a rattacher)</t>
        </is>
      </c>
      <c r="C71" s="8" t="inlineStr">
        <is>
          <t>Autre</t>
        </is>
      </c>
      <c r="D71" s="8" t="inlineStr">
        <is>
          <t>Languette carré 20</t>
        </is>
      </c>
      <c r="E71" s="8" t="inlineStr"/>
      <c r="F71" s="8" t="inlineStr"/>
      <c r="G71" s="8" t="inlineStr">
        <is>
          <t>unit</t>
        </is>
      </c>
      <c r="H71" s="14" t="n">
        <v>0</v>
      </c>
      <c r="I71" s="16" t="n"/>
      <c r="J71" s="17">
        <f>IF(I71="","",I71-H71)</f>
        <v/>
      </c>
      <c r="K71" s="18" t="n">
        <v>1.3</v>
      </c>
      <c r="L71" s="19">
        <f>IF(I71="","",I71*K71)</f>
        <v/>
      </c>
      <c r="M71" s="19">
        <f>IF(J71="","",J71*K71)</f>
        <v/>
      </c>
      <c r="N71" s="9" t="n"/>
    </row>
    <row r="72">
      <c r="A72" s="8" t="n">
        <v>66</v>
      </c>
      <c r="B72" s="8" t="inlineStr">
        <is>
          <t>Non classe (a rattacher)</t>
        </is>
      </c>
      <c r="C72" s="8" t="inlineStr">
        <is>
          <t>Autre</t>
        </is>
      </c>
      <c r="D72" s="8" t="inlineStr">
        <is>
          <t>Languette carré 24</t>
        </is>
      </c>
      <c r="E72" s="8" t="inlineStr"/>
      <c r="F72" s="8" t="inlineStr"/>
      <c r="G72" s="8" t="inlineStr">
        <is>
          <t>unit</t>
        </is>
      </c>
      <c r="H72" s="14" t="n">
        <v>0</v>
      </c>
      <c r="I72" s="16" t="n"/>
      <c r="J72" s="17">
        <f>IF(I72="","",I72-H72)</f>
        <v/>
      </c>
      <c r="K72" s="18" t="n">
        <v>1.6</v>
      </c>
      <c r="L72" s="19">
        <f>IF(I72="","",I72*K72)</f>
        <v/>
      </c>
      <c r="M72" s="19">
        <f>IF(J72="","",J72*K72)</f>
        <v/>
      </c>
      <c r="N72" s="9" t="n"/>
    </row>
    <row r="73">
      <c r="A73" s="8" t="n">
        <v>67</v>
      </c>
      <c r="B73" s="8" t="inlineStr">
        <is>
          <t>Non classe (a rattacher)</t>
        </is>
      </c>
      <c r="C73" s="8" t="inlineStr">
        <is>
          <t>Autre</t>
        </is>
      </c>
      <c r="D73" s="8" t="inlineStr">
        <is>
          <t>Languette carré 28</t>
        </is>
      </c>
      <c r="E73" s="8" t="inlineStr"/>
      <c r="F73" s="8" t="inlineStr"/>
      <c r="G73" s="8" t="inlineStr">
        <is>
          <t>unit</t>
        </is>
      </c>
      <c r="H73" s="14" t="n">
        <v>0</v>
      </c>
      <c r="I73" s="16" t="n"/>
      <c r="J73" s="17">
        <f>IF(I73="","",I73-H73)</f>
        <v/>
      </c>
      <c r="K73" s="18" t="n">
        <v>4</v>
      </c>
      <c r="L73" s="19">
        <f>IF(I73="","",I73*K73)</f>
        <v/>
      </c>
      <c r="M73" s="19">
        <f>IF(J73="","",J73*K73)</f>
        <v/>
      </c>
      <c r="N73" s="9" t="n"/>
    </row>
    <row r="74">
      <c r="A74" s="8" t="n">
        <v>68</v>
      </c>
      <c r="B74" s="8" t="inlineStr">
        <is>
          <t>Non classe (a rattacher)</t>
        </is>
      </c>
      <c r="C74" s="8" t="inlineStr">
        <is>
          <t>Autre</t>
        </is>
      </c>
      <c r="D74" s="8" t="inlineStr">
        <is>
          <t>Languette carré 30</t>
        </is>
      </c>
      <c r="E74" s="8" t="inlineStr"/>
      <c r="F74" s="8" t="inlineStr"/>
      <c r="G74" s="8" t="inlineStr">
        <is>
          <t>unit</t>
        </is>
      </c>
      <c r="H74" s="14" t="n">
        <v>0</v>
      </c>
      <c r="I74" s="16" t="n"/>
      <c r="J74" s="17">
        <f>IF(I74="","",I74-H74)</f>
        <v/>
      </c>
      <c r="K74" s="18" t="n">
        <v>5</v>
      </c>
      <c r="L74" s="19">
        <f>IF(I74="","",I74*K74)</f>
        <v/>
      </c>
      <c r="M74" s="19">
        <f>IF(J74="","",J74*K74)</f>
        <v/>
      </c>
      <c r="N74" s="9" t="n"/>
    </row>
    <row r="75">
      <c r="A75" s="8" t="n">
        <v>69</v>
      </c>
      <c r="B75" s="8" t="inlineStr">
        <is>
          <t>Non classe (a rattacher)</t>
        </is>
      </c>
      <c r="C75" s="8" t="inlineStr">
        <is>
          <t>Autre</t>
        </is>
      </c>
      <c r="D75" s="8" t="inlineStr">
        <is>
          <t>Languette carré 6</t>
        </is>
      </c>
      <c r="E75" s="8" t="inlineStr"/>
      <c r="F75" s="8" t="inlineStr"/>
      <c r="G75" s="8" t="inlineStr">
        <is>
          <t>unit</t>
        </is>
      </c>
      <c r="H75" s="14" t="n">
        <v>0</v>
      </c>
      <c r="I75" s="16" t="n"/>
      <c r="J75" s="17">
        <f>IF(I75="","",I75-H75)</f>
        <v/>
      </c>
      <c r="K75" s="18" t="n">
        <v>0.16</v>
      </c>
      <c r="L75" s="19">
        <f>IF(I75="","",I75*K75)</f>
        <v/>
      </c>
      <c r="M75" s="19">
        <f>IF(J75="","",J75*K75)</f>
        <v/>
      </c>
      <c r="N75" s="9" t="n"/>
    </row>
    <row r="76">
      <c r="A76" s="8" t="n">
        <v>70</v>
      </c>
      <c r="B76" s="8" t="inlineStr">
        <is>
          <t>Non classe (a rattacher)</t>
        </is>
      </c>
      <c r="C76" s="8" t="inlineStr">
        <is>
          <t>Autre</t>
        </is>
      </c>
      <c r="D76" s="8" t="inlineStr">
        <is>
          <t>Languette carrée</t>
        </is>
      </c>
      <c r="E76" s="8" t="inlineStr"/>
      <c r="F76" s="8" t="inlineStr"/>
      <c r="G76" s="8" t="inlineStr">
        <is>
          <t>unit</t>
        </is>
      </c>
      <c r="H76" s="14" t="n">
        <v>0</v>
      </c>
      <c r="I76" s="16" t="n"/>
      <c r="J76" s="17">
        <f>IF(I76="","",I76-H76)</f>
        <v/>
      </c>
      <c r="K76" s="18" t="n">
        <v>0</v>
      </c>
      <c r="L76" s="19">
        <f>IF(I76="","",I76*K76)</f>
        <v/>
      </c>
      <c r="M76" s="19">
        <f>IF(J76="","",J76*K76)</f>
        <v/>
      </c>
      <c r="N76" s="9" t="n"/>
    </row>
    <row r="77">
      <c r="A77" s="8" t="n">
        <v>71</v>
      </c>
      <c r="B77" s="8" t="inlineStr">
        <is>
          <t>Non classe (a rattacher)</t>
        </is>
      </c>
      <c r="C77" s="8" t="inlineStr">
        <is>
          <t>Autre</t>
        </is>
      </c>
      <c r="D77" s="8" t="inlineStr">
        <is>
          <t>Languette longue</t>
        </is>
      </c>
      <c r="E77" s="8" t="inlineStr"/>
      <c r="F77" s="8" t="inlineStr"/>
      <c r="G77" s="8" t="inlineStr">
        <is>
          <t>unit</t>
        </is>
      </c>
      <c r="H77" s="14" t="n">
        <v>0</v>
      </c>
      <c r="I77" s="16" t="n"/>
      <c r="J77" s="17">
        <f>IF(I77="","",I77-H77)</f>
        <v/>
      </c>
      <c r="K77" s="18" t="n">
        <v>0.16</v>
      </c>
      <c r="L77" s="19">
        <f>IF(I77="","",I77*K77)</f>
        <v/>
      </c>
      <c r="M77" s="19">
        <f>IF(J77="","",J77*K77)</f>
        <v/>
      </c>
      <c r="N77" s="9" t="n"/>
    </row>
    <row r="78">
      <c r="A78" s="8" t="n">
        <v>72</v>
      </c>
      <c r="B78" s="8" t="inlineStr">
        <is>
          <t>Non classe (a rattacher)</t>
        </is>
      </c>
      <c r="C78" s="8" t="inlineStr">
        <is>
          <t>Autre</t>
        </is>
      </c>
      <c r="D78" s="8" t="inlineStr">
        <is>
          <t>Languette rectangulaire</t>
        </is>
      </c>
      <c r="E78" s="8" t="inlineStr"/>
      <c r="F78" s="8" t="inlineStr"/>
      <c r="G78" s="8" t="inlineStr">
        <is>
          <t>unit</t>
        </is>
      </c>
      <c r="H78" s="14" t="n">
        <v>0</v>
      </c>
      <c r="I78" s="16" t="n"/>
      <c r="J78" s="17">
        <f>IF(I78="","",I78-H78)</f>
        <v/>
      </c>
      <c r="K78" s="18" t="n">
        <v>0.3</v>
      </c>
      <c r="L78" s="19">
        <f>IF(I78="","",I78*K78)</f>
        <v/>
      </c>
      <c r="M78" s="19">
        <f>IF(J78="","",J78*K78)</f>
        <v/>
      </c>
      <c r="N78" s="9" t="n"/>
    </row>
    <row r="79">
      <c r="A79" s="8" t="n">
        <v>73</v>
      </c>
      <c r="B79" s="8" t="inlineStr">
        <is>
          <t>Non classe (a rattacher)</t>
        </is>
      </c>
      <c r="C79" s="8" t="inlineStr">
        <is>
          <t>Autre</t>
        </is>
      </c>
      <c r="D79" s="8" t="inlineStr">
        <is>
          <t>Languette ronde 24</t>
        </is>
      </c>
      <c r="E79" s="8" t="inlineStr"/>
      <c r="F79" s="8" t="inlineStr"/>
      <c r="G79" s="8" t="inlineStr">
        <is>
          <t>unit</t>
        </is>
      </c>
      <c r="H79" s="14" t="n">
        <v>0</v>
      </c>
      <c r="I79" s="16" t="n"/>
      <c r="J79" s="17">
        <f>IF(I79="","",I79-H79)</f>
        <v/>
      </c>
      <c r="K79" s="18" t="n">
        <v>2</v>
      </c>
      <c r="L79" s="19">
        <f>IF(I79="","",I79*K79)</f>
        <v/>
      </c>
      <c r="M79" s="19">
        <f>IF(J79="","",J79*K79)</f>
        <v/>
      </c>
      <c r="N79" s="9" t="n"/>
    </row>
    <row r="80">
      <c r="A80" s="8" t="n">
        <v>74</v>
      </c>
      <c r="B80" s="8" t="inlineStr">
        <is>
          <t>Non classe (a rattacher)</t>
        </is>
      </c>
      <c r="C80" s="8" t="inlineStr">
        <is>
          <t>Autre</t>
        </is>
      </c>
      <c r="D80" s="8" t="inlineStr">
        <is>
          <t>Languette ronde 26</t>
        </is>
      </c>
      <c r="E80" s="8" t="inlineStr"/>
      <c r="F80" s="8" t="inlineStr"/>
      <c r="G80" s="8" t="inlineStr">
        <is>
          <t>unit</t>
        </is>
      </c>
      <c r="H80" s="14" t="n">
        <v>0</v>
      </c>
      <c r="I80" s="16" t="n"/>
      <c r="J80" s="17">
        <f>IF(I80="","",I80-H80)</f>
        <v/>
      </c>
      <c r="K80" s="18" t="n">
        <v>2</v>
      </c>
      <c r="L80" s="19">
        <f>IF(I80="","",I80*K80)</f>
        <v/>
      </c>
      <c r="M80" s="19">
        <f>IF(J80="","",J80*K80)</f>
        <v/>
      </c>
      <c r="N80" s="9" t="n"/>
    </row>
    <row r="81">
      <c r="A81" s="8" t="n">
        <v>75</v>
      </c>
      <c r="B81" s="8" t="inlineStr">
        <is>
          <t>Non classe (a rattacher)</t>
        </is>
      </c>
      <c r="C81" s="8" t="inlineStr">
        <is>
          <t>Autre</t>
        </is>
      </c>
      <c r="D81" s="8" t="inlineStr">
        <is>
          <t>Languette ronde 28</t>
        </is>
      </c>
      <c r="E81" s="8" t="inlineStr"/>
      <c r="F81" s="8" t="inlineStr"/>
      <c r="G81" s="8" t="inlineStr">
        <is>
          <t>unit</t>
        </is>
      </c>
      <c r="H81" s="14" t="n">
        <v>0</v>
      </c>
      <c r="I81" s="16" t="n"/>
      <c r="J81" s="17">
        <f>IF(I81="","",I81-H81)</f>
        <v/>
      </c>
      <c r="K81" s="18" t="n">
        <v>2</v>
      </c>
      <c r="L81" s="19">
        <f>IF(I81="","",I81*K81)</f>
        <v/>
      </c>
      <c r="M81" s="19">
        <f>IF(J81="","",J81*K81)</f>
        <v/>
      </c>
      <c r="N81" s="9" t="n"/>
    </row>
    <row r="82">
      <c r="A82" s="8" t="n">
        <v>76</v>
      </c>
      <c r="B82" s="8" t="inlineStr">
        <is>
          <t>Non classe (a rattacher)</t>
        </is>
      </c>
      <c r="C82" s="8" t="inlineStr">
        <is>
          <t>Autre</t>
        </is>
      </c>
      <c r="D82" s="8" t="inlineStr">
        <is>
          <t>Les boites en plastique</t>
        </is>
      </c>
      <c r="E82" s="8" t="inlineStr"/>
      <c r="F82" s="8" t="inlineStr"/>
      <c r="G82" s="8" t="inlineStr">
        <is>
          <t>unit</t>
        </is>
      </c>
      <c r="H82" s="14" t="n">
        <v>0</v>
      </c>
      <c r="I82" s="16" t="n"/>
      <c r="J82" s="17">
        <f>IF(I82="","",I82-H82)</f>
        <v/>
      </c>
      <c r="K82" s="18" t="n">
        <v>1.4166</v>
      </c>
      <c r="L82" s="19">
        <f>IF(I82="","",I82*K82)</f>
        <v/>
      </c>
      <c r="M82" s="19">
        <f>IF(J82="","",J82*K82)</f>
        <v/>
      </c>
      <c r="N82" s="9" t="n"/>
    </row>
    <row r="83">
      <c r="A83" s="8" t="n">
        <v>77</v>
      </c>
      <c r="B83" s="8" t="inlineStr">
        <is>
          <t>Non classe (a rattacher)</t>
        </is>
      </c>
      <c r="C83" s="8" t="inlineStr">
        <is>
          <t>Autre</t>
        </is>
      </c>
      <c r="D83" s="8" t="inlineStr">
        <is>
          <t>Longuette carée</t>
        </is>
      </c>
      <c r="E83" s="8" t="inlineStr"/>
      <c r="F83" s="8" t="inlineStr"/>
      <c r="G83" s="8" t="inlineStr">
        <is>
          <t>unit</t>
        </is>
      </c>
      <c r="H83" s="14" t="n">
        <v>0</v>
      </c>
      <c r="I83" s="16" t="n"/>
      <c r="J83" s="17">
        <f>IF(I83="","",I83-H83)</f>
        <v/>
      </c>
      <c r="K83" s="18" t="n">
        <v>30</v>
      </c>
      <c r="L83" s="19">
        <f>IF(I83="","",I83*K83)</f>
        <v/>
      </c>
      <c r="M83" s="19">
        <f>IF(J83="","",J83*K83)</f>
        <v/>
      </c>
      <c r="N83" s="9" t="n"/>
    </row>
    <row r="84">
      <c r="A84" s="8" t="n">
        <v>78</v>
      </c>
      <c r="B84" s="8" t="inlineStr">
        <is>
          <t>Non classe (a rattacher)</t>
        </is>
      </c>
      <c r="C84" s="8" t="inlineStr">
        <is>
          <t>Autre</t>
        </is>
      </c>
      <c r="D84" s="8" t="inlineStr">
        <is>
          <t>Lumiere vitrines</t>
        </is>
      </c>
      <c r="E84" s="8" t="inlineStr"/>
      <c r="F84" s="8" t="inlineStr"/>
      <c r="G84" s="8" t="inlineStr">
        <is>
          <t>unit</t>
        </is>
      </c>
      <c r="H84" s="14" t="n">
        <v>0</v>
      </c>
      <c r="I84" s="16" t="n"/>
      <c r="J84" s="17">
        <f>IF(I84="","",I84-H84)</f>
        <v/>
      </c>
      <c r="K84" s="18" t="n">
        <v>200</v>
      </c>
      <c r="L84" s="19">
        <f>IF(I84="","",I84*K84)</f>
        <v/>
      </c>
      <c r="M84" s="19">
        <f>IF(J84="","",J84*K84)</f>
        <v/>
      </c>
      <c r="N84" s="9" t="n"/>
    </row>
    <row r="85">
      <c r="A85" s="8" t="n">
        <v>79</v>
      </c>
      <c r="B85" s="8" t="inlineStr">
        <is>
          <t>Non classe (a rattacher)</t>
        </is>
      </c>
      <c r="C85" s="8" t="inlineStr">
        <is>
          <t>Autre</t>
        </is>
      </c>
      <c r="D85" s="8" t="inlineStr">
        <is>
          <t>Manila</t>
        </is>
      </c>
      <c r="E85" s="8" t="inlineStr"/>
      <c r="F85" s="8" t="inlineStr"/>
      <c r="G85" s="8" t="inlineStr">
        <is>
          <t>unit</t>
        </is>
      </c>
      <c r="H85" s="14" t="n">
        <v>0</v>
      </c>
      <c r="I85" s="16" t="n"/>
      <c r="J85" s="17">
        <f>IF(I85="","",I85-H85)</f>
        <v/>
      </c>
      <c r="K85" s="18" t="n">
        <v>85</v>
      </c>
      <c r="L85" s="19">
        <f>IF(I85="","",I85*K85)</f>
        <v/>
      </c>
      <c r="M85" s="19">
        <f>IF(J85="","",J85*K85)</f>
        <v/>
      </c>
      <c r="N85" s="9" t="n"/>
    </row>
    <row r="86">
      <c r="A86" s="8" t="n">
        <v>80</v>
      </c>
      <c r="B86" s="8" t="inlineStr">
        <is>
          <t>Non classe (a rattacher)</t>
        </is>
      </c>
      <c r="C86" s="8" t="inlineStr">
        <is>
          <t>Autre</t>
        </is>
      </c>
      <c r="D86" s="8" t="inlineStr">
        <is>
          <t>Mitrailleuse</t>
        </is>
      </c>
      <c r="E86" s="8" t="inlineStr"/>
      <c r="F86" s="8" t="inlineStr"/>
      <c r="G86" s="8" t="inlineStr">
        <is>
          <t>unit</t>
        </is>
      </c>
      <c r="H86" s="14" t="n">
        <v>0</v>
      </c>
      <c r="I86" s="16" t="n"/>
      <c r="J86" s="17">
        <f>IF(I86="","",I86-H86)</f>
        <v/>
      </c>
      <c r="K86" s="18" t="n">
        <v>20</v>
      </c>
      <c r="L86" s="19">
        <f>IF(I86="","",I86*K86)</f>
        <v/>
      </c>
      <c r="M86" s="19">
        <f>IF(J86="","",J86*K86)</f>
        <v/>
      </c>
      <c r="N86" s="9" t="n"/>
    </row>
    <row r="87">
      <c r="A87" s="8" t="n">
        <v>81</v>
      </c>
      <c r="B87" s="8" t="inlineStr">
        <is>
          <t>Non classe (a rattacher)</t>
        </is>
      </c>
      <c r="C87" s="8" t="inlineStr">
        <is>
          <t>Autre</t>
        </is>
      </c>
      <c r="D87" s="8" t="inlineStr">
        <is>
          <t>Moule</t>
        </is>
      </c>
      <c r="E87" s="8" t="inlineStr"/>
      <c r="F87" s="8" t="inlineStr"/>
      <c r="G87" s="8" t="inlineStr">
        <is>
          <t>unit</t>
        </is>
      </c>
      <c r="H87" s="14" t="n">
        <v>0</v>
      </c>
      <c r="I87" s="16" t="n"/>
      <c r="J87" s="17">
        <f>IF(I87="","",I87-H87)</f>
        <v/>
      </c>
      <c r="K87" s="18" t="n">
        <v>5</v>
      </c>
      <c r="L87" s="19">
        <f>IF(I87="","",I87*K87)</f>
        <v/>
      </c>
      <c r="M87" s="19">
        <f>IF(J87="","",J87*K87)</f>
        <v/>
      </c>
      <c r="N87" s="9" t="n"/>
    </row>
    <row r="88">
      <c r="A88" s="8" t="n">
        <v>82</v>
      </c>
      <c r="B88" s="8" t="inlineStr">
        <is>
          <t>Non classe (a rattacher)</t>
        </is>
      </c>
      <c r="C88" s="8" t="inlineStr">
        <is>
          <t>Autre</t>
        </is>
      </c>
      <c r="D88" s="8" t="inlineStr">
        <is>
          <t>Moule</t>
        </is>
      </c>
      <c r="E88" s="8" t="inlineStr"/>
      <c r="F88" s="8" t="inlineStr"/>
      <c r="G88" s="8" t="inlineStr">
        <is>
          <t>unit</t>
        </is>
      </c>
      <c r="H88" s="14" t="n">
        <v>0</v>
      </c>
      <c r="I88" s="16" t="n"/>
      <c r="J88" s="17">
        <f>IF(I88="","",I88-H88)</f>
        <v/>
      </c>
      <c r="K88" s="18" t="n">
        <v>2.5</v>
      </c>
      <c r="L88" s="19">
        <f>IF(I88="","",I88*K88)</f>
        <v/>
      </c>
      <c r="M88" s="19">
        <f>IF(J88="","",J88*K88)</f>
        <v/>
      </c>
      <c r="N88" s="9" t="n"/>
    </row>
    <row r="89">
      <c r="A89" s="8" t="n">
        <v>83</v>
      </c>
      <c r="B89" s="8" t="inlineStr">
        <is>
          <t>Non classe (a rattacher)</t>
        </is>
      </c>
      <c r="C89" s="8" t="inlineStr">
        <is>
          <t>Autre</t>
        </is>
      </c>
      <c r="D89" s="8" t="inlineStr">
        <is>
          <t>Moule  juif</t>
        </is>
      </c>
      <c r="E89" s="8" t="inlineStr"/>
      <c r="F89" s="8" t="inlineStr"/>
      <c r="G89" s="8" t="inlineStr">
        <is>
          <t>unit</t>
        </is>
      </c>
      <c r="H89" s="14" t="n">
        <v>0</v>
      </c>
      <c r="I89" s="16" t="n"/>
      <c r="J89" s="17">
        <f>IF(I89="","",I89-H89)</f>
        <v/>
      </c>
      <c r="K89" s="18" t="n">
        <v>30</v>
      </c>
      <c r="L89" s="19">
        <f>IF(I89="","",I89*K89)</f>
        <v/>
      </c>
      <c r="M89" s="19">
        <f>IF(J89="","",J89*K89)</f>
        <v/>
      </c>
      <c r="N89" s="9" t="n"/>
    </row>
    <row r="90">
      <c r="A90" s="8" t="n">
        <v>84</v>
      </c>
      <c r="B90" s="8" t="inlineStr">
        <is>
          <t>Non classe (a rattacher)</t>
        </is>
      </c>
      <c r="C90" s="8" t="inlineStr">
        <is>
          <t>Autre</t>
        </is>
      </c>
      <c r="D90" s="8" t="inlineStr">
        <is>
          <t>Moule inox</t>
        </is>
      </c>
      <c r="E90" s="8" t="inlineStr"/>
      <c r="F90" s="8" t="inlineStr"/>
      <c r="G90" s="8" t="inlineStr">
        <is>
          <t>unit</t>
        </is>
      </c>
      <c r="H90" s="14" t="n">
        <v>0</v>
      </c>
      <c r="I90" s="16" t="n"/>
      <c r="J90" s="17">
        <f>IF(I90="","",I90-H90)</f>
        <v/>
      </c>
      <c r="K90" s="18" t="n">
        <v>18</v>
      </c>
      <c r="L90" s="19">
        <f>IF(I90="","",I90*K90)</f>
        <v/>
      </c>
      <c r="M90" s="19">
        <f>IF(J90="","",J90*K90)</f>
        <v/>
      </c>
      <c r="N90" s="9" t="n"/>
    </row>
    <row r="91">
      <c r="A91" s="8" t="n">
        <v>85</v>
      </c>
      <c r="B91" s="8" t="inlineStr">
        <is>
          <t>Non classe (a rattacher)</t>
        </is>
      </c>
      <c r="C91" s="8" t="inlineStr">
        <is>
          <t>Autre</t>
        </is>
      </c>
      <c r="D91" s="8" t="inlineStr">
        <is>
          <t>Oni</t>
        </is>
      </c>
      <c r="E91" s="8" t="inlineStr"/>
      <c r="F91" s="8" t="inlineStr"/>
      <c r="G91" s="8" t="inlineStr">
        <is>
          <t>kg</t>
        </is>
      </c>
      <c r="H91" s="14" t="n">
        <v>0</v>
      </c>
      <c r="I91" s="16" t="n"/>
      <c r="J91" s="17">
        <f>IF(I91="","",I91-H91)</f>
        <v/>
      </c>
      <c r="K91" s="18" t="n">
        <v>0</v>
      </c>
      <c r="L91" s="19">
        <f>IF(I91="","",I91*K91)</f>
        <v/>
      </c>
      <c r="M91" s="19">
        <f>IF(J91="","",J91*K91)</f>
        <v/>
      </c>
      <c r="N91" s="9" t="n"/>
    </row>
    <row r="92">
      <c r="A92" s="8" t="n">
        <v>86</v>
      </c>
      <c r="B92" s="8" t="inlineStr">
        <is>
          <t>Non classe (a rattacher)</t>
        </is>
      </c>
      <c r="C92" s="8" t="inlineStr">
        <is>
          <t>Autre</t>
        </is>
      </c>
      <c r="D92" s="8" t="inlineStr">
        <is>
          <t>PLAQUE INOX A PATISSERIE</t>
        </is>
      </c>
      <c r="E92" s="8" t="inlineStr"/>
      <c r="F92" s="8" t="inlineStr"/>
      <c r="G92" s="8" t="inlineStr">
        <is>
          <t>unit</t>
        </is>
      </c>
      <c r="H92" s="14" t="n">
        <v>0</v>
      </c>
      <c r="I92" s="16" t="n"/>
      <c r="J92" s="17">
        <f>IF(I92="","",I92-H92)</f>
        <v/>
      </c>
      <c r="K92" s="18" t="n">
        <v>100</v>
      </c>
      <c r="L92" s="19">
        <f>IF(I92="","",I92*K92)</f>
        <v/>
      </c>
      <c r="M92" s="19">
        <f>IF(J92="","",J92*K92)</f>
        <v/>
      </c>
      <c r="N92" s="9" t="n"/>
    </row>
    <row r="93">
      <c r="A93" s="8" t="n">
        <v>87</v>
      </c>
      <c r="B93" s="8" t="inlineStr">
        <is>
          <t>Non classe (a rattacher)</t>
        </is>
      </c>
      <c r="C93" s="8" t="inlineStr">
        <is>
          <t>Autre</t>
        </is>
      </c>
      <c r="D93" s="8" t="inlineStr">
        <is>
          <t>PLAQUE INOX A PATISSERIE</t>
        </is>
      </c>
      <c r="E93" s="8" t="inlineStr"/>
      <c r="F93" s="8" t="inlineStr"/>
      <c r="G93" s="8" t="inlineStr">
        <is>
          <t>unit</t>
        </is>
      </c>
      <c r="H93" s="14" t="n">
        <v>0</v>
      </c>
      <c r="I93" s="16" t="n"/>
      <c r="J93" s="17">
        <f>IF(I93="","",I93-H93)</f>
        <v/>
      </c>
      <c r="K93" s="18" t="n">
        <v>100</v>
      </c>
      <c r="L93" s="19">
        <f>IF(I93="","",I93*K93)</f>
        <v/>
      </c>
      <c r="M93" s="19">
        <f>IF(J93="","",J93*K93)</f>
        <v/>
      </c>
      <c r="N93" s="9" t="n"/>
    </row>
    <row r="94">
      <c r="A94" s="8" t="n">
        <v>88</v>
      </c>
      <c r="B94" s="8" t="inlineStr">
        <is>
          <t>Non classe (a rattacher)</t>
        </is>
      </c>
      <c r="C94" s="8" t="inlineStr">
        <is>
          <t>Autre</t>
        </is>
      </c>
      <c r="D94" s="8" t="inlineStr">
        <is>
          <t>Parfum d'ambiance</t>
        </is>
      </c>
      <c r="E94" s="8" t="inlineStr"/>
      <c r="F94" s="8" t="inlineStr"/>
      <c r="G94" s="8" t="inlineStr">
        <is>
          <t>unit</t>
        </is>
      </c>
      <c r="H94" s="14" t="n">
        <v>0</v>
      </c>
      <c r="I94" s="16" t="n"/>
      <c r="J94" s="17">
        <f>IF(I94="","",I94-H94)</f>
        <v/>
      </c>
      <c r="K94" s="18" t="n">
        <v>18</v>
      </c>
      <c r="L94" s="19">
        <f>IF(I94="","",I94*K94)</f>
        <v/>
      </c>
      <c r="M94" s="19">
        <f>IF(J94="","",J94*K94)</f>
        <v/>
      </c>
      <c r="N94" s="9" t="n"/>
    </row>
    <row r="95">
      <c r="A95" s="8" t="n">
        <v>89</v>
      </c>
      <c r="B95" s="8" t="inlineStr">
        <is>
          <t>Non classe (a rattacher)</t>
        </is>
      </c>
      <c r="C95" s="8" t="inlineStr">
        <is>
          <t>Autre</t>
        </is>
      </c>
      <c r="D95" s="8" t="inlineStr">
        <is>
          <t>Passoire</t>
        </is>
      </c>
      <c r="E95" s="8" t="inlineStr"/>
      <c r="F95" s="8" t="inlineStr"/>
      <c r="G95" s="8" t="inlineStr">
        <is>
          <t>unit</t>
        </is>
      </c>
      <c r="H95" s="14" t="n">
        <v>0</v>
      </c>
      <c r="I95" s="16" t="n"/>
      <c r="J95" s="17">
        <f>IF(I95="","",I95-H95)</f>
        <v/>
      </c>
      <c r="K95" s="18" t="n">
        <v>5</v>
      </c>
      <c r="L95" s="19">
        <f>IF(I95="","",I95*K95)</f>
        <v/>
      </c>
      <c r="M95" s="19">
        <f>IF(J95="","",J95*K95)</f>
        <v/>
      </c>
      <c r="N95" s="9" t="n"/>
    </row>
    <row r="96">
      <c r="A96" s="8" t="n">
        <v>90</v>
      </c>
      <c r="B96" s="8" t="inlineStr">
        <is>
          <t>Non classe (a rattacher)</t>
        </is>
      </c>
      <c r="C96" s="8" t="inlineStr">
        <is>
          <t>Autre</t>
        </is>
      </c>
      <c r="D96" s="8" t="inlineStr">
        <is>
          <t>Piles AA</t>
        </is>
      </c>
      <c r="E96" s="8" t="inlineStr"/>
      <c r="F96" s="8" t="inlineStr"/>
      <c r="G96" s="8" t="inlineStr">
        <is>
          <t>unit</t>
        </is>
      </c>
      <c r="H96" s="14" t="n">
        <v>0</v>
      </c>
      <c r="I96" s="16" t="n"/>
      <c r="J96" s="17">
        <f>IF(I96="","",I96-H96)</f>
        <v/>
      </c>
      <c r="K96" s="18" t="n">
        <v>1.5</v>
      </c>
      <c r="L96" s="19">
        <f>IF(I96="","",I96*K96)</f>
        <v/>
      </c>
      <c r="M96" s="19">
        <f>IF(J96="","",J96*K96)</f>
        <v/>
      </c>
      <c r="N96" s="9" t="n"/>
    </row>
    <row r="97">
      <c r="A97" s="8" t="n">
        <v>91</v>
      </c>
      <c r="B97" s="8" t="inlineStr">
        <is>
          <t>Non classe (a rattacher)</t>
        </is>
      </c>
      <c r="C97" s="8" t="inlineStr">
        <is>
          <t>Autre</t>
        </is>
      </c>
      <c r="D97" s="8" t="inlineStr">
        <is>
          <t>Poc</t>
        </is>
      </c>
      <c r="E97" s="8" t="inlineStr"/>
      <c r="F97" s="8" t="inlineStr"/>
      <c r="G97" s="8" t="inlineStr">
        <is>
          <t>unit</t>
        </is>
      </c>
      <c r="H97" s="14" t="n">
        <v>0</v>
      </c>
      <c r="I97" s="16" t="n"/>
      <c r="J97" s="17">
        <f>IF(I97="","",I97-H97)</f>
        <v/>
      </c>
      <c r="K97" s="18" t="n">
        <v>0</v>
      </c>
      <c r="L97" s="19">
        <f>IF(I97="","",I97*K97)</f>
        <v/>
      </c>
      <c r="M97" s="19">
        <f>IF(J97="","",J97*K97)</f>
        <v/>
      </c>
      <c r="N97" s="9" t="n"/>
    </row>
    <row r="98">
      <c r="A98" s="8" t="n">
        <v>92</v>
      </c>
      <c r="B98" s="8" t="inlineStr">
        <is>
          <t>Non classe (a rattacher)</t>
        </is>
      </c>
      <c r="C98" s="8" t="inlineStr">
        <is>
          <t>Autre</t>
        </is>
      </c>
      <c r="D98" s="8" t="inlineStr">
        <is>
          <t>Polyester</t>
        </is>
      </c>
      <c r="E98" s="8" t="inlineStr"/>
      <c r="F98" s="8" t="inlineStr"/>
      <c r="G98" s="8" t="inlineStr">
        <is>
          <t>unit</t>
        </is>
      </c>
      <c r="H98" s="14" t="n">
        <v>0</v>
      </c>
      <c r="I98" s="16" t="n"/>
      <c r="J98" s="17">
        <f>IF(I98="","",I98-H98)</f>
        <v/>
      </c>
      <c r="K98" s="18" t="n">
        <v>25</v>
      </c>
      <c r="L98" s="19">
        <f>IF(I98="","",I98*K98)</f>
        <v/>
      </c>
      <c r="M98" s="19">
        <f>IF(J98="","",J98*K98)</f>
        <v/>
      </c>
      <c r="N98" s="9" t="n"/>
    </row>
    <row r="99">
      <c r="A99" s="8" t="n">
        <v>93</v>
      </c>
      <c r="B99" s="8" t="inlineStr">
        <is>
          <t>Non classe (a rattacher)</t>
        </is>
      </c>
      <c r="C99" s="8" t="inlineStr">
        <is>
          <t>Autre</t>
        </is>
      </c>
      <c r="D99" s="8" t="inlineStr">
        <is>
          <t>Produits de nettoyage</t>
        </is>
      </c>
      <c r="E99" s="8" t="inlineStr"/>
      <c r="F99" s="8" t="inlineStr"/>
      <c r="G99" s="8" t="inlineStr">
        <is>
          <t>unit</t>
        </is>
      </c>
      <c r="H99" s="14" t="n">
        <v>0</v>
      </c>
      <c r="I99" s="16" t="n"/>
      <c r="J99" s="17">
        <f>IF(I99="","",I99-H99)</f>
        <v/>
      </c>
      <c r="K99" s="18" t="n">
        <v>7</v>
      </c>
      <c r="L99" s="19">
        <f>IF(I99="","",I99*K99)</f>
        <v/>
      </c>
      <c r="M99" s="19">
        <f>IF(J99="","",J99*K99)</f>
        <v/>
      </c>
      <c r="N99" s="9" t="n"/>
    </row>
    <row r="100">
      <c r="A100" s="8" t="n">
        <v>94</v>
      </c>
      <c r="B100" s="8" t="inlineStr">
        <is>
          <t>Non classe (a rattacher)</t>
        </is>
      </c>
      <c r="C100" s="8" t="inlineStr">
        <is>
          <t>Autre</t>
        </is>
      </c>
      <c r="D100" s="8" t="inlineStr">
        <is>
          <t>Sac poubelle</t>
        </is>
      </c>
      <c r="E100" s="8" t="inlineStr"/>
      <c r="F100" s="8" t="inlineStr"/>
      <c r="G100" s="8" t="inlineStr">
        <is>
          <t>unit</t>
        </is>
      </c>
      <c r="H100" s="14" t="n">
        <v>0</v>
      </c>
      <c r="I100" s="16" t="n"/>
      <c r="J100" s="17">
        <f>IF(I100="","",I100-H100)</f>
        <v/>
      </c>
      <c r="K100" s="18" t="n">
        <v>25.225</v>
      </c>
      <c r="L100" s="19">
        <f>IF(I100="","",I100*K100)</f>
        <v/>
      </c>
      <c r="M100" s="19">
        <f>IF(J100="","",J100*K100)</f>
        <v/>
      </c>
      <c r="N100" s="9" t="n"/>
    </row>
    <row r="101">
      <c r="A101" s="8" t="n">
        <v>95</v>
      </c>
      <c r="B101" s="8" t="inlineStr">
        <is>
          <t>Non classe (a rattacher)</t>
        </is>
      </c>
      <c r="C101" s="8" t="inlineStr">
        <is>
          <t>Autre</t>
        </is>
      </c>
      <c r="D101" s="8" t="inlineStr">
        <is>
          <t>Sachet sacs</t>
        </is>
      </c>
      <c r="E101" s="8" t="inlineStr"/>
      <c r="F101" s="8" t="inlineStr"/>
      <c r="G101" s="8" t="inlineStr">
        <is>
          <t>unit</t>
        </is>
      </c>
      <c r="H101" s="14" t="n">
        <v>0</v>
      </c>
      <c r="I101" s="16" t="n"/>
      <c r="J101" s="17">
        <f>IF(I101="","",I101-H101)</f>
        <v/>
      </c>
      <c r="K101" s="18" t="n">
        <v>230</v>
      </c>
      <c r="L101" s="19">
        <f>IF(I101="","",I101*K101)</f>
        <v/>
      </c>
      <c r="M101" s="19">
        <f>IF(J101="","",J101*K101)</f>
        <v/>
      </c>
      <c r="N101" s="9" t="n"/>
    </row>
    <row r="102">
      <c r="A102" s="8" t="n">
        <v>96</v>
      </c>
      <c r="B102" s="8" t="inlineStr">
        <is>
          <t>Non classe (a rattacher)</t>
        </is>
      </c>
      <c r="C102" s="8" t="inlineStr">
        <is>
          <t>Autre</t>
        </is>
      </c>
      <c r="D102" s="8" t="inlineStr">
        <is>
          <t>Seau de plastique</t>
        </is>
      </c>
      <c r="E102" s="8" t="inlineStr"/>
      <c r="F102" s="8" t="inlineStr"/>
      <c r="G102" s="8" t="inlineStr">
        <is>
          <t>unit</t>
        </is>
      </c>
      <c r="H102" s="14" t="n">
        <v>0</v>
      </c>
      <c r="I102" s="16" t="n"/>
      <c r="J102" s="17">
        <f>IF(I102="","",I102-H102)</f>
        <v/>
      </c>
      <c r="K102" s="18" t="n">
        <v>14.81</v>
      </c>
      <c r="L102" s="19">
        <f>IF(I102="","",I102*K102)</f>
        <v/>
      </c>
      <c r="M102" s="19">
        <f>IF(J102="","",J102*K102)</f>
        <v/>
      </c>
      <c r="N102" s="9" t="n"/>
    </row>
    <row r="103">
      <c r="A103" s="8" t="n">
        <v>97</v>
      </c>
      <c r="B103" s="8" t="inlineStr">
        <is>
          <t>Non classe (a rattacher)</t>
        </is>
      </c>
      <c r="C103" s="8" t="inlineStr">
        <is>
          <t>Autre</t>
        </is>
      </c>
      <c r="D103" s="8" t="inlineStr">
        <is>
          <t>Torchon</t>
        </is>
      </c>
      <c r="E103" s="8" t="inlineStr"/>
      <c r="F103" s="8" t="inlineStr"/>
      <c r="G103" s="8" t="inlineStr">
        <is>
          <t>unit</t>
        </is>
      </c>
      <c r="H103" s="14" t="n">
        <v>0</v>
      </c>
      <c r="I103" s="16" t="n"/>
      <c r="J103" s="17">
        <f>IF(I103="","",I103-H103)</f>
        <v/>
      </c>
      <c r="K103" s="18" t="n">
        <v>5</v>
      </c>
      <c r="L103" s="19">
        <f>IF(I103="","",I103*K103)</f>
        <v/>
      </c>
      <c r="M103" s="19">
        <f>IF(J103="","",J103*K103)</f>
        <v/>
      </c>
      <c r="N103" s="9" t="n"/>
    </row>
    <row r="104">
      <c r="A104" s="8" t="n">
        <v>98</v>
      </c>
      <c r="B104" s="8" t="inlineStr">
        <is>
          <t>Équipements &amp; Matériel</t>
        </is>
      </c>
      <c r="C104" s="8" t="inlineStr">
        <is>
          <t>Matériel cuisine &gt; Fours &amp; Pétrins</t>
        </is>
      </c>
      <c r="D104" s="8" t="inlineStr">
        <is>
          <t>Bonbonne de gaz</t>
        </is>
      </c>
      <c r="E104" s="8" t="inlineStr"/>
      <c r="F104" s="8" t="inlineStr"/>
      <c r="G104" s="8" t="inlineStr">
        <is>
          <t>unit</t>
        </is>
      </c>
      <c r="H104" s="14" t="n">
        <v>0</v>
      </c>
      <c r="I104" s="16" t="n"/>
      <c r="J104" s="17">
        <f>IF(I104="","",I104-H104)</f>
        <v/>
      </c>
      <c r="K104" s="18" t="n">
        <v>11</v>
      </c>
      <c r="L104" s="19">
        <f>IF(I104="","",I104*K104)</f>
        <v/>
      </c>
      <c r="M104" s="19">
        <f>IF(J104="","",J104*K104)</f>
        <v/>
      </c>
      <c r="N104" s="9" t="n"/>
    </row>
    <row r="105">
      <c r="A105" s="8" t="n">
        <v>99</v>
      </c>
      <c r="B105" s="8" t="inlineStr">
        <is>
          <t>Équipements &amp; Matériel</t>
        </is>
      </c>
      <c r="C105" s="8" t="inlineStr">
        <is>
          <t>Petit matériel &gt; Outillage divers</t>
        </is>
      </c>
      <c r="D105" s="8" t="inlineStr">
        <is>
          <t>Bougie</t>
        </is>
      </c>
      <c r="E105" s="8" t="inlineStr"/>
      <c r="F105" s="8" t="inlineStr"/>
      <c r="G105" s="8" t="inlineStr">
        <is>
          <t>unit</t>
        </is>
      </c>
      <c r="H105" s="14" t="n">
        <v>0</v>
      </c>
      <c r="I105" s="16" t="n"/>
      <c r="J105" s="17">
        <f>IF(I105="","",I105-H105)</f>
        <v/>
      </c>
      <c r="K105" s="18" t="n">
        <v>15</v>
      </c>
      <c r="L105" s="19">
        <f>IF(I105="","",I105*K105)</f>
        <v/>
      </c>
      <c r="M105" s="19">
        <f>IF(J105="","",J105*K105)</f>
        <v/>
      </c>
      <c r="N105" s="9" t="n"/>
    </row>
    <row r="106">
      <c r="A106" s="8" t="n">
        <v>100</v>
      </c>
      <c r="B106" s="8" t="inlineStr">
        <is>
          <t>Équipements &amp; Matériel</t>
        </is>
      </c>
      <c r="C106" s="8" t="inlineStr">
        <is>
          <t>Petit matériel &gt; Outillage divers</t>
        </is>
      </c>
      <c r="D106" s="8" t="inlineStr">
        <is>
          <t>Boules de décoration</t>
        </is>
      </c>
      <c r="E106" s="8" t="inlineStr"/>
      <c r="F106" s="8" t="inlineStr"/>
      <c r="G106" s="8" t="inlineStr">
        <is>
          <t>unit</t>
        </is>
      </c>
      <c r="H106" s="14" t="n">
        <v>0</v>
      </c>
      <c r="I106" s="16" t="n"/>
      <c r="J106" s="17">
        <f>IF(I106="","",I106-H106)</f>
        <v/>
      </c>
      <c r="K106" s="18" t="n">
        <v>20</v>
      </c>
      <c r="L106" s="19">
        <f>IF(I106="","",I106*K106)</f>
        <v/>
      </c>
      <c r="M106" s="19">
        <f>IF(J106="","",J106*K106)</f>
        <v/>
      </c>
      <c r="N106" s="9" t="n"/>
    </row>
    <row r="107">
      <c r="A107" s="8" t="n">
        <v>101</v>
      </c>
      <c r="B107" s="8" t="inlineStr">
        <is>
          <t>Équipements &amp; Matériel</t>
        </is>
      </c>
      <c r="C107" s="8" t="inlineStr">
        <is>
          <t>Petit matériel &gt; Outillage divers</t>
        </is>
      </c>
      <c r="D107" s="8" t="inlineStr">
        <is>
          <t>Drapeau</t>
        </is>
      </c>
      <c r="E107" s="8" t="inlineStr"/>
      <c r="F107" s="8" t="inlineStr"/>
      <c r="G107" s="8" t="inlineStr">
        <is>
          <t>unit</t>
        </is>
      </c>
      <c r="H107" s="14" t="n">
        <v>0</v>
      </c>
      <c r="I107" s="16" t="n"/>
      <c r="J107" s="17">
        <f>IF(I107="","",I107-H107)</f>
        <v/>
      </c>
      <c r="K107" s="18" t="n">
        <v>50</v>
      </c>
      <c r="L107" s="19">
        <f>IF(I107="","",I107*K107)</f>
        <v/>
      </c>
      <c r="M107" s="19">
        <f>IF(J107="","",J107*K107)</f>
        <v/>
      </c>
      <c r="N107" s="9" t="n"/>
    </row>
    <row r="108">
      <c r="A108" s="8" t="n">
        <v>102</v>
      </c>
      <c r="B108" s="8" t="inlineStr">
        <is>
          <t>Équipements &amp; Matériel</t>
        </is>
      </c>
      <c r="C108" s="8" t="inlineStr">
        <is>
          <t>Petit matériel &gt; Outillage divers</t>
        </is>
      </c>
      <c r="D108" s="8" t="inlineStr">
        <is>
          <t>Les gents</t>
        </is>
      </c>
      <c r="E108" s="8" t="inlineStr"/>
      <c r="F108" s="8" t="inlineStr"/>
      <c r="G108" s="8" t="inlineStr">
        <is>
          <t>unit</t>
        </is>
      </c>
      <c r="H108" s="14" t="n">
        <v>0</v>
      </c>
      <c r="I108" s="16" t="n"/>
      <c r="J108" s="17">
        <f>IF(I108="","",I108-H108)</f>
        <v/>
      </c>
      <c r="K108" s="18" t="n">
        <v>6</v>
      </c>
      <c r="L108" s="19">
        <f>IF(I108="","",I108*K108)</f>
        <v/>
      </c>
      <c r="M108" s="19">
        <f>IF(J108="","",J108*K108)</f>
        <v/>
      </c>
      <c r="N108" s="9" t="n"/>
    </row>
    <row r="109">
      <c r="A109" s="8" t="n">
        <v>103</v>
      </c>
      <c r="B109" s="8" t="inlineStr">
        <is>
          <t>Équipements &amp; Matériel</t>
        </is>
      </c>
      <c r="C109" s="8" t="inlineStr">
        <is>
          <t>Petit matériel &gt; Outillage divers</t>
        </is>
      </c>
      <c r="D109" s="8" t="inlineStr">
        <is>
          <t>Les plaque</t>
        </is>
      </c>
      <c r="E109" s="8" t="inlineStr"/>
      <c r="F109" s="8" t="inlineStr"/>
      <c r="G109" s="8" t="inlineStr">
        <is>
          <t>unit</t>
        </is>
      </c>
      <c r="H109" s="14" t="n">
        <v>0</v>
      </c>
      <c r="I109" s="16" t="n"/>
      <c r="J109" s="17">
        <f>IF(I109="","",I109-H109)</f>
        <v/>
      </c>
      <c r="K109" s="18" t="n">
        <v>26.67</v>
      </c>
      <c r="L109" s="19">
        <f>IF(I109="","",I109*K109)</f>
        <v/>
      </c>
      <c r="M109" s="19">
        <f>IF(J109="","",J109*K109)</f>
        <v/>
      </c>
      <c r="N109" s="9" t="n"/>
    </row>
    <row r="110">
      <c r="A110" s="8" t="n">
        <v>104</v>
      </c>
      <c r="B110" s="8" t="inlineStr">
        <is>
          <t>Équipements &amp; Matériel</t>
        </is>
      </c>
      <c r="C110" s="8" t="inlineStr">
        <is>
          <t>Petit matériel &gt; Outillage divers</t>
        </is>
      </c>
      <c r="D110" s="8" t="inlineStr">
        <is>
          <t>Papier d'impression</t>
        </is>
      </c>
      <c r="E110" s="8" t="inlineStr"/>
      <c r="F110" s="8" t="inlineStr"/>
      <c r="G110" s="8" t="inlineStr">
        <is>
          <t>unit</t>
        </is>
      </c>
      <c r="H110" s="14" t="n">
        <v>0</v>
      </c>
      <c r="I110" s="16" t="n"/>
      <c r="J110" s="17">
        <f>IF(I110="","",I110-H110)</f>
        <v/>
      </c>
      <c r="K110" s="18" t="n">
        <v>55</v>
      </c>
      <c r="L110" s="19">
        <f>IF(I110="","",I110*K110)</f>
        <v/>
      </c>
      <c r="M110" s="19">
        <f>IF(J110="","",J110*K110)</f>
        <v/>
      </c>
      <c r="N110" s="9" t="n"/>
    </row>
    <row r="111">
      <c r="A111" s="8" t="n">
        <v>105</v>
      </c>
      <c r="B111" s="8" t="inlineStr">
        <is>
          <t>Équipements &amp; Matériel</t>
        </is>
      </c>
      <c r="C111" s="8" t="inlineStr">
        <is>
          <t>Petit matériel &gt; Outillage divers</t>
        </is>
      </c>
      <c r="D111" s="8" t="inlineStr">
        <is>
          <t>Poele a baghrir</t>
        </is>
      </c>
      <c r="E111" s="8" t="inlineStr"/>
      <c r="F111" s="8" t="inlineStr"/>
      <c r="G111" s="8" t="inlineStr">
        <is>
          <t>kg</t>
        </is>
      </c>
      <c r="H111" s="14" t="n">
        <v>0</v>
      </c>
      <c r="I111" s="16" t="n"/>
      <c r="J111" s="17">
        <f>IF(I111="","",I111-H111)</f>
        <v/>
      </c>
      <c r="K111" s="18" t="n">
        <v>0</v>
      </c>
      <c r="L111" s="19">
        <f>IF(I111="","",I111*K111)</f>
        <v/>
      </c>
      <c r="M111" s="19">
        <f>IF(J111="","",J111*K111)</f>
        <v/>
      </c>
      <c r="N111" s="9" t="n"/>
    </row>
    <row r="112">
      <c r="A112" s="8" t="n">
        <v>106</v>
      </c>
      <c r="B112" s="8" t="inlineStr">
        <is>
          <t>Équipements &amp; Matériel</t>
        </is>
      </c>
      <c r="C112" s="8" t="inlineStr">
        <is>
          <t>Petit matériel &gt; Ustensiles pâtisserie</t>
        </is>
      </c>
      <c r="D112" s="8" t="inlineStr">
        <is>
          <t>Cuillère en plastique</t>
        </is>
      </c>
      <c r="E112" s="8" t="inlineStr"/>
      <c r="F112" s="8" t="inlineStr"/>
      <c r="G112" s="8" t="inlineStr">
        <is>
          <t>unit</t>
        </is>
      </c>
      <c r="H112" s="14" t="n">
        <v>0</v>
      </c>
      <c r="I112" s="16" t="n"/>
      <c r="J112" s="17">
        <f>IF(I112="","",I112-H112)</f>
        <v/>
      </c>
      <c r="K112" s="18" t="n">
        <v>6</v>
      </c>
      <c r="L112" s="19">
        <f>IF(I112="","",I112*K112)</f>
        <v/>
      </c>
      <c r="M112" s="19">
        <f>IF(J112="","",J112*K112)</f>
        <v/>
      </c>
      <c r="N112" s="9" t="n"/>
    </row>
    <row r="113">
      <c r="A113" s="8" t="n">
        <v>107</v>
      </c>
      <c r="B113" s="8" t="inlineStr">
        <is>
          <t>Équipements &amp; Matériel</t>
        </is>
      </c>
      <c r="C113" s="8" t="inlineStr">
        <is>
          <t>Petit matériel &gt; Ustensiles pâtisserie</t>
        </is>
      </c>
      <c r="D113" s="8" t="inlineStr">
        <is>
          <t>Pinceau</t>
        </is>
      </c>
      <c r="E113" s="8" t="inlineStr"/>
      <c r="F113" s="8" t="inlineStr"/>
      <c r="G113" s="8" t="inlineStr">
        <is>
          <t>unit</t>
        </is>
      </c>
      <c r="H113" s="14" t="n">
        <v>0</v>
      </c>
      <c r="I113" s="16" t="n"/>
      <c r="J113" s="17">
        <f>IF(I113="","",I113-H113)</f>
        <v/>
      </c>
      <c r="K113" s="18" t="n">
        <v>35</v>
      </c>
      <c r="L113" s="19">
        <f>IF(I113="","",I113*K113)</f>
        <v/>
      </c>
      <c r="M113" s="19">
        <f>IF(J113="","",J113*K113)</f>
        <v/>
      </c>
      <c r="N113" s="9" t="n"/>
    </row>
    <row r="114">
      <c r="A114" s="8" t="n">
        <v>108</v>
      </c>
      <c r="B114" s="8" t="inlineStr">
        <is>
          <t>Équipements &amp; Matériel</t>
        </is>
      </c>
      <c r="C114" s="8" t="inlineStr">
        <is>
          <t>Petit matériel &gt; Ustensiles pâtisserie</t>
        </is>
      </c>
      <c r="D114" s="8" t="inlineStr">
        <is>
          <t>Poche</t>
        </is>
      </c>
      <c r="E114" s="8" t="inlineStr"/>
      <c r="F114" s="8" t="inlineStr"/>
      <c r="G114" s="8" t="inlineStr">
        <is>
          <t>kg</t>
        </is>
      </c>
      <c r="H114" s="14" t="n">
        <v>0</v>
      </c>
      <c r="I114" s="16" t="n"/>
      <c r="J114" s="17">
        <f>IF(I114="","",I114-H114)</f>
        <v/>
      </c>
      <c r="K114" s="18" t="n">
        <v>135</v>
      </c>
      <c r="L114" s="19">
        <f>IF(I114="","",I114*K114)</f>
        <v/>
      </c>
      <c r="M114" s="19">
        <f>IF(J114="","",J114*K114)</f>
        <v/>
      </c>
      <c r="N114" s="9" t="n"/>
    </row>
    <row r="115">
      <c r="A115" s="8" t="n">
        <v>109</v>
      </c>
      <c r="B115" s="8" t="inlineStr">
        <is>
          <t>Équipements &amp; Matériel</t>
        </is>
      </c>
      <c r="C115" s="8" t="inlineStr">
        <is>
          <t>Petit matériel &gt; Ustensiles pâtisserie</t>
        </is>
      </c>
      <c r="D115" s="8" t="inlineStr">
        <is>
          <t>Silicon trompe l'oeil mangue</t>
        </is>
      </c>
      <c r="E115" s="8" t="inlineStr"/>
      <c r="F115" s="8" t="inlineStr"/>
      <c r="G115" s="8" t="inlineStr">
        <is>
          <t>unit</t>
        </is>
      </c>
      <c r="H115" s="14" t="n">
        <v>0</v>
      </c>
      <c r="I115" s="16" t="n"/>
      <c r="J115" s="17">
        <f>IF(I115="","",I115-H115)</f>
        <v/>
      </c>
      <c r="K115" s="18" t="n">
        <v>170</v>
      </c>
      <c r="L115" s="19">
        <f>IF(I115="","",I115*K115)</f>
        <v/>
      </c>
      <c r="M115" s="19">
        <f>IF(J115="","",J115*K115)</f>
        <v/>
      </c>
      <c r="N115" s="9" t="n"/>
    </row>
    <row r="116">
      <c r="A116" s="20" t="n"/>
      <c r="B116" s="20" t="n"/>
      <c r="C116" s="20" t="n"/>
      <c r="D116" s="20" t="inlineStr">
        <is>
          <t>TOTAL CONSOMMABLES</t>
        </is>
      </c>
      <c r="E116" s="20" t="n"/>
      <c r="F116" s="20" t="n"/>
      <c r="G116" s="20" t="n"/>
      <c r="H116" s="20" t="n"/>
      <c r="I116" s="20" t="n"/>
      <c r="J116" s="20" t="n"/>
      <c r="K116" s="20" t="n"/>
      <c r="L116" s="21">
        <f>SUM(L7:L115)</f>
        <v/>
      </c>
      <c r="M116" s="21">
        <f>SUM(M7:M115)</f>
        <v/>
      </c>
      <c r="N116" s="20" t="n"/>
    </row>
  </sheetData>
  <autoFilter ref="A6:N115"/>
  <mergeCells count="1">
    <mergeCell ref="A1:F1"/>
  </mergeCells>
  <conditionalFormatting sqref="A7:N115">
    <cfRule type="expression" priority="1" dxfId="0" stopIfTrue="0">
      <formula>AND($I7&lt;&gt;"",$J7&lt;&gt;0)</formula>
    </cfRule>
  </conditionalFormatting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4" customWidth="1" min="3" max="3"/>
    <col width="72" customWidth="1" min="4" max="4"/>
    <col width="30" customWidth="1" min="5" max="5"/>
  </cols>
  <sheetData>
    <row r="1">
      <c r="A1" s="11" t="inlineStr">
        <is>
          <t>COMPTAGE DU CARNET - LIGNES NON REPORTEES</t>
        </is>
      </c>
    </row>
    <row r="2">
      <c r="A2" s="2" t="inlineStr">
        <is>
          <t>Ces quantites ont bien ete comptees, mais l'article correspondant est ambigu dans le referentiel. Choisissez le bon article, puis saisissez la quantite dans l'onglet 'Ingredients'.</t>
        </is>
      </c>
    </row>
    <row r="4" ht="30" customHeight="1">
      <c r="A4" s="7" t="inlineStr">
        <is>
          <t>Libelle du carnet</t>
        </is>
      </c>
      <c r="B4" s="7" t="inlineStr">
        <is>
          <t>Quantite comptee</t>
        </is>
      </c>
      <c r="C4" s="7" t="inlineStr">
        <is>
          <t>Pourquoi ce n'est pas reporte</t>
        </is>
      </c>
      <c r="D4" s="7" t="inlineStr">
        <is>
          <t>Articles candidats en base</t>
        </is>
      </c>
      <c r="E4" s="7" t="inlineStr">
        <is>
          <t>Article retenu</t>
        </is>
      </c>
    </row>
    <row r="5" ht="30" customHeight="1">
      <c r="A5" s="31" t="inlineStr">
        <is>
          <t>Beurre</t>
        </is>
      </c>
      <c r="B5" s="31" t="inlineStr">
        <is>
          <t>140 kg</t>
        </is>
      </c>
      <c r="C5" s="31" t="inlineStr">
        <is>
          <t>3 articles 'Beurre' au referentiel</t>
        </is>
      </c>
      <c r="D5" s="31" t="inlineStr">
        <is>
          <t>Beurre (kg, theo 125) | Beurre (kg, theo 600) | Beurre (unit, theo 0)</t>
        </is>
      </c>
      <c r="E5" s="32" t="n"/>
    </row>
    <row r="6" ht="30" customHeight="1">
      <c r="A6" s="31" t="inlineStr">
        <is>
          <t>Creme patissier</t>
        </is>
      </c>
      <c r="B6" s="31" t="inlineStr">
        <is>
          <t>17 kg</t>
        </is>
      </c>
      <c r="C6" s="31" t="inlineStr">
        <is>
          <t>doublon</t>
        </is>
      </c>
      <c r="D6" s="31" t="inlineStr">
        <is>
          <t>CREME PATISSIERE (kg, theo 20) | Creme patissiere (kg, theo 15)</t>
        </is>
      </c>
      <c r="E6" s="32" t="n"/>
    </row>
    <row r="7" ht="30" customHeight="1">
      <c r="A7" s="31" t="inlineStr">
        <is>
          <t>Poudre cacao</t>
        </is>
      </c>
      <c r="B7" s="31" t="inlineStr">
        <is>
          <t>3 kg</t>
        </is>
      </c>
      <c r="C7" s="31" t="inlineStr">
        <is>
          <t>doublon / faute de frappe en base</t>
        </is>
      </c>
      <c r="D7" s="31" t="inlineStr">
        <is>
          <t>Cacao en poudre 10/12 (kg, theo 7,3) | Pouder cacao (kg, theo 0)</t>
        </is>
      </c>
      <c r="E7" s="32" t="n"/>
    </row>
    <row r="8" ht="30" customHeight="1">
      <c r="A8" s="31" t="inlineStr">
        <is>
          <t>Praline amande</t>
        </is>
      </c>
      <c r="B8" s="31" t="inlineStr">
        <is>
          <t>8 kg</t>
        </is>
      </c>
      <c r="C8" s="31" t="inlineStr">
        <is>
          <t>doublon</t>
        </is>
      </c>
      <c r="D8" s="31" t="inlineStr">
        <is>
          <t>Praline amande (kg, theo 24) | Praline amande 50% (kg, theo 20,3) | Praline amande (unit, theo 0)</t>
        </is>
      </c>
      <c r="E8" s="32" t="n"/>
    </row>
    <row r="9" ht="30" customHeight="1">
      <c r="A9" s="31" t="inlineStr">
        <is>
          <t>Chocovic</t>
        </is>
      </c>
      <c r="B9" s="31" t="inlineStr">
        <is>
          <t>9 kg</t>
        </is>
      </c>
      <c r="C9" s="31" t="inlineStr">
        <is>
          <t>libelle du carnet non trouve tel quel</t>
        </is>
      </c>
      <c r="D9" s="31" t="inlineStr">
        <is>
          <t>Beurre de cacao chocovic (kg, theo 3) -- a confirmer</t>
        </is>
      </c>
      <c r="E9" s="32" t="n"/>
    </row>
    <row r="10" ht="30" customHeight="1">
      <c r="A10" s="31" t="inlineStr">
        <is>
          <t>Tablette Signature blanc</t>
        </is>
      </c>
      <c r="B10" s="31" t="inlineStr">
        <is>
          <t>2 kg</t>
        </is>
      </c>
      <c r="C10" s="31" t="inlineStr">
        <is>
          <t>doublon</t>
        </is>
      </c>
      <c r="D10" s="31" t="inlineStr">
        <is>
          <t>TABLETTE SIGNATURE BLANC (kg, theo 0) | Tablette Signature Blanc VHP (kg, theo 9,5)</t>
        </is>
      </c>
      <c r="E10" s="32" t="n"/>
    </row>
    <row r="11" ht="30" customHeight="1">
      <c r="A11" s="31" t="inlineStr">
        <is>
          <t>Batons boulanger</t>
        </is>
      </c>
      <c r="B11" s="31" t="inlineStr">
        <is>
          <t>6 boites</t>
        </is>
      </c>
      <c r="C11" s="31" t="inlineStr">
        <is>
          <t>doublon + conversion boite -&gt; unite inconnue</t>
        </is>
      </c>
      <c r="D11" s="31" t="inlineStr">
        <is>
          <t>500 batons boulangers DGF (unit, theo 21) | Batons boulangers DGF 500 (unit, theo 0)</t>
        </is>
      </c>
      <c r="E11" s="32" t="n"/>
    </row>
    <row r="12" ht="30" customHeight="1">
      <c r="A12" s="31" t="inlineStr">
        <is>
          <t>Ameliorant viennoiserie</t>
        </is>
      </c>
      <c r="B12" s="31" t="inlineStr">
        <is>
          <t>5 seaux</t>
        </is>
      </c>
      <c r="C12" s="31" t="inlineStr">
        <is>
          <t>poids du seau non renseigne en base</t>
        </is>
      </c>
      <c r="D12" s="31" t="inlineStr">
        <is>
          <t>Ameliorant Viennoiserie (kg, theo 0) -- indiquer les kg par seau</t>
        </is>
      </c>
      <c r="E12" s="32" t="n"/>
    </row>
    <row r="13" ht="30" customHeight="1">
      <c r="A13" s="31" t="inlineStr">
        <is>
          <t>Tegrale neutre</t>
        </is>
      </c>
      <c r="B13" s="31" t="inlineStr">
        <is>
          <t>9 kg</t>
        </is>
      </c>
      <c r="C13" s="31" t="inlineStr">
        <is>
          <t>ABSENT du referentiel</t>
        </is>
      </c>
      <c r="D13" s="31" t="inlineStr">
        <is>
          <t>existent : Tegral multigrain (10) | Tegral vanille (16) | Tegral chocolat (15,9)</t>
        </is>
      </c>
      <c r="E13" s="32" t="n"/>
    </row>
    <row r="14" ht="30" customHeight="1">
      <c r="A14" s="31" t="inlineStr">
        <is>
          <t>Gelatine</t>
        </is>
      </c>
      <c r="B14" s="31" t="inlineStr">
        <is>
          <t>1 boite</t>
        </is>
      </c>
      <c r="C14" s="31" t="inlineStr">
        <is>
          <t>3 articles + conversion boite inconnue</t>
        </is>
      </c>
      <c r="D14" s="31" t="inlineStr">
        <is>
          <t>Gelatine en feuille (kg, theo 2) | Gelatine (unit, theo 1) | Gelatine en feuille (kg, theo 0)</t>
        </is>
      </c>
      <c r="E14" s="32" t="n"/>
    </row>
    <row r="15" ht="30" customHeight="1">
      <c r="A15" s="31" t="inlineStr">
        <is>
          <t>Chocolat couverture VAN - blanc</t>
        </is>
      </c>
      <c r="B15" s="31" t="inlineStr">
        <is>
          <t>2,5 kg (chiffre rature)</t>
        </is>
      </c>
      <c r="C15" s="31" t="inlineStr">
        <is>
          <t>'VAN' = 'VHP' ? a confirmer</t>
        </is>
      </c>
      <c r="D15" s="31" t="inlineStr">
        <is>
          <t>CHOCOLAT COUVERTURE BLANC VHP (kg, theo 5)</t>
        </is>
      </c>
      <c r="E15" s="32" t="n"/>
    </row>
    <row r="16" ht="30" customHeight="1">
      <c r="A16" s="31" t="inlineStr">
        <is>
          <t>Chocolat couverture VAN - noir</t>
        </is>
      </c>
      <c r="B16" s="31" t="inlineStr">
        <is>
          <t>5 kg</t>
        </is>
      </c>
      <c r="C16" s="31" t="inlineStr">
        <is>
          <t>'VAN' = 'VHP' ? + doublon</t>
        </is>
      </c>
      <c r="D16" s="31" t="inlineStr">
        <is>
          <t>CHOCOLAT DE COUVERTURE NOIR VHP (kg, theo 5) | Chocolat couverture noir VHP (kg, theo 3,847)</t>
        </is>
      </c>
      <c r="E16" s="32" t="n"/>
    </row>
    <row r="17" ht="30" customHeight="1">
      <c r="A17" s="31" t="inlineStr">
        <is>
          <t>Chocolat couverture VAN - lait</t>
        </is>
      </c>
      <c r="B17" s="31" t="inlineStr">
        <is>
          <t>X (= 0)</t>
        </is>
      </c>
      <c r="C17" s="31" t="inlineStr">
        <is>
          <t>'VAN' = 'VHP' ? + doublon</t>
        </is>
      </c>
      <c r="D17" s="31" t="inlineStr">
        <is>
          <t>CHOCOLAT COUVERTURE LAIT VHP (kg, theo 5) | Chocolat couverture lait VHP (kg, theo 5)</t>
        </is>
      </c>
      <c r="E17" s="32" t="n"/>
    </row>
    <row r="18" ht="30" customHeight="1">
      <c r="A18" s="31" t="inlineStr">
        <is>
          <t>Drops</t>
        </is>
      </c>
      <c r="B18" s="31" t="inlineStr">
        <is>
          <t>9 kg</t>
        </is>
      </c>
      <c r="C18" s="31" t="inlineStr">
        <is>
          <t>3 articles possibles</t>
        </is>
      </c>
      <c r="D18" s="31" t="inlineStr">
        <is>
          <t>Gouttes drops 50% DGF (kg, theo 26,57) | Gouttes Drops 44% (kg, theo 2,743) | Chocolat cookies drops (theo 0)</t>
        </is>
      </c>
      <c r="E18" s="32" t="n"/>
    </row>
    <row r="19" ht="30" customHeight="1">
      <c r="A19" s="31" t="inlineStr">
        <is>
          <t>Chocolat couverture DGF - blanc</t>
        </is>
      </c>
      <c r="B19" s="31" t="inlineStr">
        <is>
          <t>7 kg</t>
        </is>
      </c>
      <c r="C19" s="31" t="inlineStr">
        <is>
          <t>4 doublons DGF</t>
        </is>
      </c>
      <c r="D19" s="31" t="inlineStr">
        <is>
          <t>CHOCOLAT BLAN DGF (10) | CHOCOLAT DE COUVERTURE BLAN DGF (10) | CHOCOLAT DE COUVERTURE BLANC DGF (10)</t>
        </is>
      </c>
      <c r="E19" s="32" t="n"/>
    </row>
    <row r="20" ht="30" customHeight="1">
      <c r="A20" s="31" t="inlineStr">
        <is>
          <t>Chocolat couverture DGF - lait</t>
        </is>
      </c>
      <c r="B20" s="31" t="inlineStr">
        <is>
          <t>1 kg</t>
        </is>
      </c>
      <c r="C20" s="31" t="inlineStr">
        <is>
          <t>doublon</t>
        </is>
      </c>
      <c r="D20" s="31" t="inlineStr">
        <is>
          <t>CHOCOLAT LAIT DGF (kg, theo 20)</t>
        </is>
      </c>
      <c r="E20" s="32" t="n"/>
    </row>
    <row r="21" ht="30" customHeight="1">
      <c r="A21" s="31" t="inlineStr">
        <is>
          <t>Chocolat couverture DGF - noir</t>
        </is>
      </c>
      <c r="B21" s="31" t="inlineStr">
        <is>
          <t>X (= 0)</t>
        </is>
      </c>
      <c r="C21" s="31" t="inlineStr">
        <is>
          <t>doublon</t>
        </is>
      </c>
      <c r="D21" s="31" t="inlineStr">
        <is>
          <t>CHOCOLAT DE COUVERTURE NOIR DGF (10) | CHOCOLAT NOIR DGF (20)</t>
        </is>
      </c>
      <c r="E21" s="32" t="n"/>
    </row>
    <row r="22" ht="30" customHeight="1">
      <c r="A22" s="31" t="inlineStr">
        <is>
          <t>Creme citron</t>
        </is>
      </c>
      <c r="B22" s="31" t="inlineStr">
        <is>
          <t>5 kg</t>
        </is>
      </c>
      <c r="C22" s="31" t="inlineStr">
        <is>
          <t>doublon</t>
        </is>
      </c>
      <c r="D22" s="31" t="inlineStr">
        <is>
          <t>Creme citron (kg, theo 15) | Creme citron accentue (kg, theo 4)</t>
        </is>
      </c>
      <c r="E22" s="32" t="n"/>
    </row>
    <row r="23" ht="30" customHeight="1">
      <c r="A23" s="31" t="inlineStr">
        <is>
          <t>Creme cheese</t>
        </is>
      </c>
      <c r="B23" s="31" t="inlineStr">
        <is>
          <t>15 kg</t>
        </is>
      </c>
      <c r="C23" s="31" t="inlineStr">
        <is>
          <t>doublon avec unites differentes</t>
        </is>
      </c>
      <c r="D23" s="31" t="inlineStr">
        <is>
          <t>Creme cheese (kg, theo 17) | Creme cheese (unit, theo 9)</t>
        </is>
      </c>
      <c r="E23" s="32" t="n"/>
    </row>
    <row r="24" ht="30" customHeight="1">
      <c r="A24" s="31" t="inlineStr">
        <is>
          <t>Creme fraiche</t>
        </is>
      </c>
      <c r="B24" s="31" t="inlineStr">
        <is>
          <t>30 L</t>
        </is>
      </c>
      <c r="C24" s="31" t="inlineStr">
        <is>
          <t>doublon avec unites differentes</t>
        </is>
      </c>
      <c r="D24" s="31" t="inlineStr">
        <is>
          <t>Creme fraiche (l, theo 85,5) | Creme fraiche (kg, theo 3)</t>
        </is>
      </c>
      <c r="E24" s="32" t="n"/>
    </row>
    <row r="25" ht="30" customHeight="1">
      <c r="A25" s="31" t="inlineStr">
        <is>
          <t>Lait</t>
        </is>
      </c>
      <c r="B25" s="31" t="inlineStr">
        <is>
          <t>37 L</t>
        </is>
      </c>
      <c r="C25" s="31" t="inlineStr">
        <is>
          <t>doublon</t>
        </is>
      </c>
      <c r="D25" s="31" t="inlineStr">
        <is>
          <t>Lait (l, theo 261) | Lait (l, theo 6)</t>
        </is>
      </c>
      <c r="E25" s="3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8" customWidth="1" min="4" max="4"/>
    <col width="18" customWidth="1" min="5" max="5"/>
    <col width="18" customWidth="1" min="6" max="6"/>
    <col width="10" customWidth="1" min="7" max="7"/>
  </cols>
  <sheetData>
    <row r="1">
      <c r="A1" s="1" t="inlineStr">
        <is>
          <t>SYNTHESE DE L'INVENTAIRE</t>
        </is>
      </c>
    </row>
    <row r="2">
      <c r="A2" s="2" t="inlineStr">
        <is>
          <t>Se met a jour automatiquement a partir des onglets de comptage.</t>
        </is>
      </c>
    </row>
    <row r="4" ht="30" customHeight="1">
      <c r="A4" s="7" t="inlineStr">
        <is>
          <t>Famille</t>
        </is>
      </c>
      <c r="B4" s="7" t="inlineStr">
        <is>
          <t>Source</t>
        </is>
      </c>
      <c r="C4" s="7" t="inlineStr">
        <is>
          <t>Nb articles</t>
        </is>
      </c>
      <c r="D4" s="7" t="inlineStr">
        <is>
          <t>Valeur theorique</t>
        </is>
      </c>
      <c r="E4" s="7" t="inlineStr">
        <is>
          <t>Valeur comptee</t>
        </is>
      </c>
      <c r="F4" s="7" t="inlineStr">
        <is>
          <t>Valeur ecart</t>
        </is>
      </c>
      <c r="G4" s="7" t="inlineStr">
        <is>
          <t>% ecart</t>
        </is>
      </c>
    </row>
    <row r="5">
      <c r="A5" s="8" t="inlineStr">
        <is>
          <t>Matières premières</t>
        </is>
      </c>
      <c r="B5" s="8" t="inlineStr">
        <is>
          <t>Ingredients</t>
        </is>
      </c>
      <c r="C5" s="22">
        <f>COUNTIF(Ingredients!$B$7:$B$381,$A5)</f>
        <v/>
      </c>
      <c r="D5" s="18">
        <f>SUMPRODUCT((Ingredients!$B$7:$B$381=$A5)*Ingredients!$I$7:$I$381*Ingredients!$N$7:$N$381)</f>
        <v/>
      </c>
      <c r="E5" s="18">
        <f>SUMIF(Ingredients!$B$7:$B$381,$A5,Ingredients!$O$7:$O$381)</f>
        <v/>
      </c>
      <c r="F5" s="18">
        <f>SUMIF(Ingredients!$B$7:$B$381,$A5,Ingredients!$P$7:$P$381)</f>
        <v/>
      </c>
      <c r="G5" s="23">
        <f>IF($D5=0,0,$F5/$D5)</f>
        <v/>
      </c>
    </row>
    <row r="6">
      <c r="A6" s="8" t="inlineStr">
        <is>
          <t>Équipements &amp; Matériel</t>
        </is>
      </c>
      <c r="B6" s="8" t="inlineStr">
        <is>
          <t>Ingredients</t>
        </is>
      </c>
      <c r="C6" s="22">
        <f>COUNTIF(Ingredients!$B$7:$B$381,$A6)</f>
        <v/>
      </c>
      <c r="D6" s="18">
        <f>SUMPRODUCT((Ingredients!$B$7:$B$381=$A6)*Ingredients!$I$7:$I$381*Ingredients!$N$7:$N$381)</f>
        <v/>
      </c>
      <c r="E6" s="18">
        <f>SUMIF(Ingredients!$B$7:$B$381,$A6,Ingredients!$O$7:$O$381)</f>
        <v/>
      </c>
      <c r="F6" s="18">
        <f>SUMIF(Ingredients!$B$7:$B$381,$A6,Ingredients!$P$7:$P$381)</f>
        <v/>
      </c>
      <c r="G6" s="23">
        <f>IF($D6=0,0,$F6/$D6)</f>
        <v/>
      </c>
    </row>
    <row r="7">
      <c r="A7" s="8" t="inlineStr">
        <is>
          <t>Emballages</t>
        </is>
      </c>
      <c r="B7" s="8" t="inlineStr">
        <is>
          <t>Consommables</t>
        </is>
      </c>
      <c r="C7" s="22">
        <f>COUNTIF(Consommables!$B$7:$B$115,$A7)</f>
        <v/>
      </c>
      <c r="D7" s="18">
        <f>SUMPRODUCT((Consommables!$B$7:$B$115=$A7)*Consommables!$H$7:$H$115*Consommables!$K$7:$K$115)</f>
        <v/>
      </c>
      <c r="E7" s="18">
        <f>SUMIF(Consommables!$B$7:$B$115,$A7,Consommables!$L$7:$L$115)</f>
        <v/>
      </c>
      <c r="F7" s="18">
        <f>SUMIF(Consommables!$B$7:$B$115,$A7,Consommables!$M$7:$M$115)</f>
        <v/>
      </c>
      <c r="G7" s="23">
        <f>IF($D7=0,0,$F7/$D7)</f>
        <v/>
      </c>
    </row>
    <row r="8">
      <c r="A8" s="8" t="inlineStr">
        <is>
          <t>Entretien &amp; Maintenance</t>
        </is>
      </c>
      <c r="B8" s="8" t="inlineStr">
        <is>
          <t>Consommables</t>
        </is>
      </c>
      <c r="C8" s="22">
        <f>COUNTIF(Consommables!$B$7:$B$115,$A8)</f>
        <v/>
      </c>
      <c r="D8" s="18">
        <f>SUMPRODUCT((Consommables!$B$7:$B$115=$A8)*Consommables!$H$7:$H$115*Consommables!$K$7:$K$115)</f>
        <v/>
      </c>
      <c r="E8" s="18">
        <f>SUMIF(Consommables!$B$7:$B$115,$A8,Consommables!$L$7:$L$115)</f>
        <v/>
      </c>
      <c r="F8" s="18">
        <f>SUMIF(Consommables!$B$7:$B$115,$A8,Consommables!$M$7:$M$115)</f>
        <v/>
      </c>
      <c r="G8" s="23">
        <f>IF($D8=0,0,$F8/$D8)</f>
        <v/>
      </c>
    </row>
    <row r="9">
      <c r="A9" s="8" t="inlineStr">
        <is>
          <t>Non classe (a rattacher)</t>
        </is>
      </c>
      <c r="B9" s="8" t="inlineStr">
        <is>
          <t>Consommables</t>
        </is>
      </c>
      <c r="C9" s="22">
        <f>COUNTIF(Consommables!$B$7:$B$115,$A9)</f>
        <v/>
      </c>
      <c r="D9" s="18">
        <f>SUMPRODUCT((Consommables!$B$7:$B$115=$A9)*Consommables!$H$7:$H$115*Consommables!$K$7:$K$115)</f>
        <v/>
      </c>
      <c r="E9" s="18">
        <f>SUMIF(Consommables!$B$7:$B$115,$A9,Consommables!$L$7:$L$115)</f>
        <v/>
      </c>
      <c r="F9" s="18">
        <f>SUMIF(Consommables!$B$7:$B$115,$A9,Consommables!$M$7:$M$115)</f>
        <v/>
      </c>
      <c r="G9" s="23">
        <f>IF($D9=0,0,$F9/$D9)</f>
        <v/>
      </c>
    </row>
    <row r="10">
      <c r="A10" s="8" t="inlineStr">
        <is>
          <t>Équipements &amp; Matériel</t>
        </is>
      </c>
      <c r="B10" s="8" t="inlineStr">
        <is>
          <t>Consommables</t>
        </is>
      </c>
      <c r="C10" s="22">
        <f>COUNTIF(Consommables!$B$7:$B$115,$A10)</f>
        <v/>
      </c>
      <c r="D10" s="18">
        <f>SUMPRODUCT((Consommables!$B$7:$B$115=$A10)*Consommables!$H$7:$H$115*Consommables!$K$7:$K$115)</f>
        <v/>
      </c>
      <c r="E10" s="18">
        <f>SUMIF(Consommables!$B$7:$B$115,$A10,Consommables!$L$7:$L$115)</f>
        <v/>
      </c>
      <c r="F10" s="18">
        <f>SUMIF(Consommables!$B$7:$B$115,$A10,Consommables!$M$7:$M$115)</f>
        <v/>
      </c>
      <c r="G10" s="23">
        <f>IF($D10=0,0,$F10/$D10)</f>
        <v/>
      </c>
    </row>
    <row r="11">
      <c r="A11" s="24" t="inlineStr">
        <is>
          <t>TOTAL GENERAL</t>
        </is>
      </c>
      <c r="B11" s="24" t="n"/>
      <c r="C11" s="25">
        <f>SUM(C5:C10)</f>
        <v/>
      </c>
      <c r="D11" s="26">
        <f>SUM(D5:D10)</f>
        <v/>
      </c>
      <c r="E11" s="26">
        <f>SUM(E5:E10)</f>
        <v/>
      </c>
      <c r="F11" s="26">
        <f>SUM(F5:F10)</f>
        <v/>
      </c>
      <c r="G11" s="27">
        <f>IF($D11=0,0,$F11/$D11)</f>
        <v/>
      </c>
    </row>
    <row r="14">
      <c r="A14" s="6" t="inlineStr">
        <is>
          <t>Signatures</t>
        </is>
      </c>
    </row>
    <row r="15" ht="28" customHeight="1">
      <c r="A15" s="28" t="inlineStr">
        <is>
          <t>Magasinier / compteur</t>
        </is>
      </c>
      <c r="B15" s="29" t="n"/>
      <c r="C15" s="29" t="n"/>
    </row>
    <row r="16" ht="28" customHeight="1">
      <c r="A16" s="28" t="inlineStr">
        <is>
          <t>Responsable production</t>
        </is>
      </c>
      <c r="B16" s="29" t="n"/>
      <c r="C16" s="29" t="n"/>
    </row>
    <row r="17" ht="28" customHeight="1">
      <c r="A17" s="28" t="inlineStr">
        <is>
          <t>Direction / comptabilite</t>
        </is>
      </c>
      <c r="B17" s="29" t="n"/>
      <c r="C17" s="2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2026-08-06T19:32:49Z</dcterms:created>
  <dcterms:modified xmlns:dcterms="http://purl.org/dc/terms/" xmlns:xsi="http://www.w3.org/2001/XMLSchema-instance" xsi:type="dcterms:W3CDTF">2026-08-06T19:32:49Z</dcterms:modified>
</cp:coreProperties>
</file>